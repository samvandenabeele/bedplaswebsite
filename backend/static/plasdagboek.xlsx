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mVandenabeele\OneDrive - Sint-Barbaracollege\Documenten\bedplaswebsite\backend\static\"/>
    </mc:Choice>
  </mc:AlternateContent>
  <xr:revisionPtr revIDLastSave="0" documentId="13_ncr:1_{5403FF90-2BE1-49B3-8CA1-9FBC3D763455}" xr6:coauthVersionLast="47" xr6:coauthVersionMax="47" xr10:uidLastSave="{00000000-0000-0000-0000-000000000000}"/>
  <bookViews>
    <workbookView xWindow="-110" yWindow="-110" windowWidth="19420" windowHeight="11020" firstSheet="5" activeTab="9" xr2:uid="{00000000-000D-0000-FFFF-FFFF00000000}"/>
  </bookViews>
  <sheets>
    <sheet name="Algemene info" sheetId="1" r:id="rId1"/>
    <sheet name="Intake vragen" sheetId="2" state="hidden" r:id="rId2"/>
    <sheet name="Dag 1" sheetId="3" r:id="rId3"/>
    <sheet name="Dag 2" sheetId="4" r:id="rId4"/>
    <sheet name="Dag 3" sheetId="5" r:id="rId5"/>
    <sheet name="Dag 4" sheetId="6" r:id="rId6"/>
    <sheet name="Dag 5" sheetId="7" r:id="rId7"/>
    <sheet name="Dag 6" sheetId="8" r:id="rId8"/>
    <sheet name="Dag 7" sheetId="10" r:id="rId9"/>
    <sheet name="Evolutie" sheetId="9" r:id="rId10"/>
    <sheet name="Dropdowns" sheetId="11" state="hidden" r:id="rId11"/>
    <sheet name="Samenvatting doktersbezoeken" sheetId="12" r:id="rId12"/>
    <sheet name="Database" sheetId="13" state="hidden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7" roundtripDataChecksum="IuaZeI+DkfjJAMkt0MvrKUZma+cdT8XIP3tBUw3MPrU="/>
    </ext>
  </extLst>
</workbook>
</file>

<file path=xl/calcChain.xml><?xml version="1.0" encoding="utf-8"?>
<calcChain xmlns="http://schemas.openxmlformats.org/spreadsheetml/2006/main">
  <c r="M6" i="8" l="1"/>
  <c r="M5" i="8"/>
  <c r="M4" i="8"/>
  <c r="M6" i="7"/>
  <c r="M5" i="7"/>
  <c r="M4" i="7"/>
  <c r="M6" i="6"/>
  <c r="M5" i="6"/>
  <c r="M4" i="6"/>
  <c r="M6" i="5"/>
  <c r="M5" i="5"/>
  <c r="M4" i="5"/>
  <c r="M6" i="4"/>
  <c r="M5" i="4"/>
  <c r="M4" i="4"/>
  <c r="M6" i="3"/>
  <c r="M5" i="3"/>
  <c r="M4" i="3"/>
  <c r="B6" i="1"/>
  <c r="M8" i="8" s="1"/>
  <c r="J10" i="8" s="1"/>
  <c r="G2" i="13"/>
  <c r="B9" i="11"/>
  <c r="A3" i="11"/>
  <c r="C32" i="10"/>
  <c r="C22" i="10"/>
  <c r="C21" i="10"/>
  <c r="C20" i="10"/>
  <c r="E11" i="10"/>
  <c r="E24" i="10" s="1"/>
  <c r="E10" i="10"/>
  <c r="J5" i="10"/>
  <c r="C32" i="8"/>
  <c r="C22" i="8"/>
  <c r="C21" i="8"/>
  <c r="C20" i="8"/>
  <c r="E11" i="8"/>
  <c r="E24" i="8" s="1"/>
  <c r="E10" i="8"/>
  <c r="J5" i="8"/>
  <c r="C32" i="7"/>
  <c r="C22" i="7"/>
  <c r="C21" i="7"/>
  <c r="C20" i="7"/>
  <c r="E11" i="7"/>
  <c r="E24" i="7" s="1"/>
  <c r="E10" i="7"/>
  <c r="J5" i="7"/>
  <c r="C32" i="6"/>
  <c r="C22" i="6"/>
  <c r="C21" i="6"/>
  <c r="C20" i="6"/>
  <c r="E11" i="6"/>
  <c r="E10" i="6"/>
  <c r="E24" i="6" s="1"/>
  <c r="J5" i="6"/>
  <c r="C32" i="5"/>
  <c r="C22" i="5"/>
  <c r="C21" i="5"/>
  <c r="C20" i="5"/>
  <c r="E11" i="5"/>
  <c r="E10" i="5"/>
  <c r="E24" i="5" s="1"/>
  <c r="J5" i="5"/>
  <c r="C32" i="4"/>
  <c r="C22" i="4"/>
  <c r="C21" i="4"/>
  <c r="C20" i="4"/>
  <c r="E11" i="4"/>
  <c r="E10" i="4"/>
  <c r="E24" i="4" s="1"/>
  <c r="J5" i="4"/>
  <c r="C32" i="3"/>
  <c r="C22" i="3"/>
  <c r="C21" i="3"/>
  <c r="C20" i="3"/>
  <c r="E11" i="3"/>
  <c r="E24" i="3" s="1"/>
  <c r="E10" i="3"/>
  <c r="J5" i="3"/>
  <c r="D7" i="9"/>
  <c r="D6" i="9"/>
  <c r="D8" i="9"/>
  <c r="D5" i="9"/>
  <c r="D4" i="9"/>
  <c r="F3" i="9" a="1"/>
  <c r="G3" i="9" a="1"/>
  <c r="H3" i="9" a="1"/>
  <c r="I3" i="9" a="1"/>
  <c r="J3" i="9" a="1"/>
  <c r="E3" i="9" a="1"/>
  <c r="D3" i="9" a="1"/>
  <c r="J5" i="9"/>
  <c r="I4" i="9"/>
  <c r="J6" i="9"/>
  <c r="I5" i="9"/>
  <c r="H4" i="9"/>
  <c r="I8" i="9"/>
  <c r="F5" i="9"/>
  <c r="E4" i="9"/>
  <c r="J7" i="9"/>
  <c r="I6" i="9"/>
  <c r="H5" i="9"/>
  <c r="G4" i="9"/>
  <c r="J8" i="9"/>
  <c r="I7" i="9"/>
  <c r="H6" i="9"/>
  <c r="G5" i="9"/>
  <c r="F4" i="9"/>
  <c r="H7" i="9"/>
  <c r="H8" i="9"/>
  <c r="G7" i="9"/>
  <c r="F6" i="9"/>
  <c r="E5" i="9"/>
  <c r="G8" i="9"/>
  <c r="F7" i="9"/>
  <c r="E6" i="9"/>
  <c r="F8" i="9"/>
  <c r="E7" i="9"/>
  <c r="E8" i="9"/>
  <c r="J4" i="9"/>
  <c r="G6" i="9"/>
  <c r="E3" i="9" l="1"/>
  <c r="J3" i="9"/>
  <c r="I3" i="9"/>
  <c r="H3" i="9"/>
  <c r="G3" i="9"/>
  <c r="F3" i="9"/>
  <c r="D3" i="9"/>
  <c r="M8" i="4"/>
  <c r="J10" i="4" s="1"/>
  <c r="M8" i="7"/>
  <c r="J10" i="7" s="1"/>
  <c r="M8" i="3"/>
  <c r="J10" i="3" s="1"/>
  <c r="M8" i="6"/>
  <c r="J10" i="6" s="1"/>
  <c r="M8" i="10"/>
  <c r="J10" i="10" s="1"/>
  <c r="M8" i="5"/>
  <c r="J10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<sst xmlns="http://schemas.openxmlformats.org/spreadsheetml/2006/main" count="693" uniqueCount="217">
  <si>
    <t>Algemene informatie</t>
  </si>
  <si>
    <t>Voornaam</t>
  </si>
  <si>
    <t>Naam</t>
  </si>
  <si>
    <t>Geboortedatum</t>
  </si>
  <si>
    <t xml:space="preserve">Leeftijd </t>
  </si>
  <si>
    <t>Klinische tekenen en symptomen</t>
  </si>
  <si>
    <t>Therapie</t>
  </si>
  <si>
    <t>Enuresis nocturna (bedplassen)</t>
  </si>
  <si>
    <t xml:space="preserve">Welke behandelingen al gevolgd? </t>
  </si>
  <si>
    <t>Aantal nachten per week?</t>
  </si>
  <si>
    <t>Sinds vorig consult</t>
  </si>
  <si>
    <t>Frequentie? (aantal keer per nacht)</t>
  </si>
  <si>
    <t xml:space="preserve">Dagkalender ingevuld? </t>
  </si>
  <si>
    <t xml:space="preserve">s nachts wakker worden om te plassen? </t>
  </si>
  <si>
    <t xml:space="preserve">Nachtkalender ingevuld? </t>
  </si>
  <si>
    <t xml:space="preserve">Tijdstip in de nacht? </t>
  </si>
  <si>
    <t xml:space="preserve">Drinkschema gevolgd? </t>
  </si>
  <si>
    <t xml:space="preserve">Draagt 's nachts een pamper? </t>
  </si>
  <si>
    <t xml:space="preserve">Superplassen uitgevoerd? </t>
  </si>
  <si>
    <t xml:space="preserve">Hoe groot is het urineverlies? </t>
  </si>
  <si>
    <t>Opvolging</t>
  </si>
  <si>
    <t>Incontinentie diurna</t>
  </si>
  <si>
    <t xml:space="preserve">Therapie op dit moment? </t>
  </si>
  <si>
    <t>Aantal dagen per week?</t>
  </si>
  <si>
    <t xml:space="preserve">Neemt medicatie? </t>
  </si>
  <si>
    <t>Frequentie? (aantal keer per dag</t>
  </si>
  <si>
    <t xml:space="preserve">Tijdstip ? </t>
  </si>
  <si>
    <t>Symptomen suggestief voor blaasdysfunctie</t>
  </si>
  <si>
    <t xml:space="preserve"> Druppeltjes urineverlies in ondergoed</t>
  </si>
  <si>
    <t xml:space="preserve">     • Voor mictie</t>
  </si>
  <si>
    <t xml:space="preserve">     • Na mictie</t>
  </si>
  <si>
    <t>Grote hoeveelheid urineverlies ondergoed</t>
  </si>
  <si>
    <t xml:space="preserve">Aantal plasjes per dag </t>
  </si>
  <si>
    <t>subjectief gevoel van verbetering over verslechtering</t>
  </si>
  <si>
    <t>Intermittent verlies of continue lekkage</t>
  </si>
  <si>
    <t>Incontinentie diurna &gt; 3,5 jaar oud</t>
  </si>
  <si>
    <t>Plots zeer dringend moeten plassen (urge)</t>
  </si>
  <si>
    <t>Ophoudmaneuvers</t>
  </si>
  <si>
    <t>Persmictie</t>
  </si>
  <si>
    <t>Frequent korte plasjes</t>
  </si>
  <si>
    <t>Onderbroken mictiestraal</t>
  </si>
  <si>
    <t>Urineweginfectie in voorgeschiedenis</t>
  </si>
  <si>
    <t>Ziekte en/of aangeboren afwijking aan nieren</t>
  </si>
  <si>
    <t xml:space="preserve">Ziekte en/of aangeboren afwijking aan urinewegen </t>
  </si>
  <si>
    <t>Ziekte en/of aangeboren afwijking aan ruggenmerg</t>
  </si>
  <si>
    <t>Toilethouding/hygiëne</t>
  </si>
  <si>
    <t>Mictie</t>
  </si>
  <si>
    <t>Situationeel</t>
  </si>
  <si>
    <t>samen in aanvink vak</t>
  </si>
  <si>
    <t>Gaat op school naar het toilet</t>
  </si>
  <si>
    <t>Plast in meerdere tijden</t>
  </si>
  <si>
    <t>Gigglingincontinentie</t>
  </si>
  <si>
    <t>Gaat zittend plassen</t>
  </si>
  <si>
    <t>Inspanningsgebonden last</t>
  </si>
  <si>
    <t>Neemt de tijd om te gaan plassen</t>
  </si>
  <si>
    <t>Urineverlies bij hoesten</t>
  </si>
  <si>
    <t>Blijft zitten tot volledig klaar</t>
  </si>
  <si>
    <t>Koudegebonden last</t>
  </si>
  <si>
    <t>Plast over toiletbril (meisje)</t>
  </si>
  <si>
    <t>Plast over toiletbril? (meisje)</t>
  </si>
  <si>
    <t>Seizoensgebonden last</t>
  </si>
  <si>
    <t>Situationele last</t>
  </si>
  <si>
    <t>Gigglingincontinentie?</t>
  </si>
  <si>
    <t>Inspanningsgebonden last?</t>
  </si>
  <si>
    <t>Urineverlies bij hoesten?</t>
  </si>
  <si>
    <t>Drankgewoontes</t>
  </si>
  <si>
    <t xml:space="preserve">koudegebonden last? </t>
  </si>
  <si>
    <t>Drinkt meer dan 1500ml per dag</t>
  </si>
  <si>
    <t xml:space="preserve">Seizoensgebonden last?  </t>
  </si>
  <si>
    <t xml:space="preserve">Type drank? </t>
  </si>
  <si>
    <t>Comorbiditeit  (CAVE therapieresistentie )</t>
  </si>
  <si>
    <t>Drinkt meer dan 1 glas gedurende de avond?</t>
  </si>
  <si>
    <t>Constipatie (defecatie &lt;3x/week)</t>
  </si>
  <si>
    <t>Drinkt gedurende de nacht?</t>
  </si>
  <si>
    <t xml:space="preserve">Encopresis </t>
  </si>
  <si>
    <t>Psychologische, gedrags of psychiatrische problemen?</t>
  </si>
  <si>
    <t>• Aanwijzingen voor ADHD, ADD, autisme, etc</t>
  </si>
  <si>
    <t>Voorgeschiedenis van bewegings- en of leerstoornissen, vertraagde ontwikkeling</t>
  </si>
  <si>
    <t>Dag 1 op Kamp</t>
  </si>
  <si>
    <t>Ochtend</t>
  </si>
  <si>
    <t xml:space="preserve">Avond </t>
  </si>
  <si>
    <t xml:space="preserve">Uroflowmetrie en plasdagboek </t>
  </si>
  <si>
    <t>Plaswekker gebruikt</t>
  </si>
  <si>
    <t>Totaal VV (ml)</t>
  </si>
  <si>
    <t>Hoe vaak is plaswekker afgegaan</t>
  </si>
  <si>
    <t>Voldoende gedronken (&gt; 1,5L)</t>
  </si>
  <si>
    <t>MVV (ml)</t>
  </si>
  <si>
    <t>Frequentie Urineverlies 's nachts</t>
  </si>
  <si>
    <t>Natte broek gehad?</t>
  </si>
  <si>
    <t>GVV (ml)</t>
  </si>
  <si>
    <t xml:space="preserve">Natte luier? </t>
  </si>
  <si>
    <t>Frequentie urineverlies overdag</t>
  </si>
  <si>
    <t>Droog luiergewicht (g)</t>
  </si>
  <si>
    <t xml:space="preserve">Hoe vaak naar toilet geweest? </t>
  </si>
  <si>
    <t>Leeftijd</t>
  </si>
  <si>
    <t>Nat luiergewicht (g)</t>
  </si>
  <si>
    <t>Netto luiergewicht (g)</t>
  </si>
  <si>
    <t>EBCage (ml)</t>
  </si>
  <si>
    <t>Ochtendplas (ml)</t>
  </si>
  <si>
    <t>Waarden uit plasdagboek</t>
  </si>
  <si>
    <t>Plas 1</t>
  </si>
  <si>
    <t>Plas 2</t>
  </si>
  <si>
    <t>Plas 3</t>
  </si>
  <si>
    <t>Plas 4</t>
  </si>
  <si>
    <t>Plas 5</t>
  </si>
  <si>
    <t>Plas 6</t>
  </si>
  <si>
    <t>Plas 7</t>
  </si>
  <si>
    <t>Plas 8</t>
  </si>
  <si>
    <t>Plas 9</t>
  </si>
  <si>
    <t>Plas 10</t>
  </si>
  <si>
    <t>Plas 11</t>
  </si>
  <si>
    <t>Plas 12</t>
  </si>
  <si>
    <t>Plas 13</t>
  </si>
  <si>
    <t>Plas 14</t>
  </si>
  <si>
    <t>Plas 15</t>
  </si>
  <si>
    <t>Plas 16</t>
  </si>
  <si>
    <t>Plas 17</t>
  </si>
  <si>
    <t>Plas 18</t>
  </si>
  <si>
    <t>Plas 19</t>
  </si>
  <si>
    <t>Plas 20</t>
  </si>
  <si>
    <t>Tijdstip</t>
  </si>
  <si>
    <t>VV (ml)</t>
  </si>
  <si>
    <t xml:space="preserve">Faeces </t>
  </si>
  <si>
    <t>Toilet/urineverlies</t>
  </si>
  <si>
    <t>Nacht/Ochtend</t>
  </si>
  <si>
    <t>Totale VV (ml)</t>
  </si>
  <si>
    <r>
      <rPr>
        <sz val="9"/>
        <color rgb="FF000000"/>
        <rFont val="Calibri"/>
      </rPr>
      <t>Nachtelijke diurese</t>
    </r>
    <r>
      <rPr>
        <sz val="6"/>
        <color rgb="FF000000"/>
        <rFont val="Calibri"/>
      </rPr>
      <t xml:space="preserve"> = netto luiergewicht + ochtendplas (ml)</t>
    </r>
  </si>
  <si>
    <t xml:space="preserve">Waarden vochtinname </t>
  </si>
  <si>
    <t>Vochtinname 1</t>
  </si>
  <si>
    <t xml:space="preserve">Vochtinname 2 </t>
  </si>
  <si>
    <t>Vochtinname 3</t>
  </si>
  <si>
    <t>Vochtinname 4</t>
  </si>
  <si>
    <t>Vochtinname 5</t>
  </si>
  <si>
    <t>Vochtinname 6</t>
  </si>
  <si>
    <t>Vochtinname 7</t>
  </si>
  <si>
    <t>Vochtinname 8</t>
  </si>
  <si>
    <t>Vochtinname 9</t>
  </si>
  <si>
    <t>Vochtinname 10</t>
  </si>
  <si>
    <t>Vochtinname 11</t>
  </si>
  <si>
    <t>Vochtinname 12</t>
  </si>
  <si>
    <t>Vochtinname 13</t>
  </si>
  <si>
    <t>Vochtinname 14</t>
  </si>
  <si>
    <t>Vochtinname 15</t>
  </si>
  <si>
    <t>Vochtinname 16</t>
  </si>
  <si>
    <t>Vochtinname 17</t>
  </si>
  <si>
    <t>Vochtinname 18</t>
  </si>
  <si>
    <t>Vochtinname 19</t>
  </si>
  <si>
    <t>Vochtinname 20</t>
  </si>
  <si>
    <t>Volume (ml)</t>
  </si>
  <si>
    <t>Type</t>
  </si>
  <si>
    <t>Totale vochtinname (ml)</t>
  </si>
  <si>
    <t>Opmerkingen</t>
  </si>
  <si>
    <r>
      <rPr>
        <sz val="9"/>
        <color rgb="FF000000"/>
        <rFont val="Calibri"/>
      </rPr>
      <t>Nachtelijke diurese</t>
    </r>
    <r>
      <rPr>
        <sz val="6"/>
        <color rgb="FF000000"/>
        <rFont val="Calibri"/>
      </rPr>
      <t xml:space="preserve"> = netto luiergewicht + ochtendplas (ml)</t>
    </r>
  </si>
  <si>
    <r>
      <rPr>
        <sz val="9"/>
        <color rgb="FF000000"/>
        <rFont val="Calibri"/>
      </rPr>
      <t>Nachtelijke diurese</t>
    </r>
    <r>
      <rPr>
        <sz val="6"/>
        <color rgb="FF000000"/>
        <rFont val="Calibri"/>
      </rPr>
      <t xml:space="preserve"> = netto luiergewicht + ochtendplas (ml)</t>
    </r>
  </si>
  <si>
    <r>
      <rPr>
        <sz val="9"/>
        <color rgb="FF000000"/>
        <rFont val="Calibri"/>
      </rPr>
      <t>Nachtelijke diurese</t>
    </r>
    <r>
      <rPr>
        <sz val="6"/>
        <color rgb="FF000000"/>
        <rFont val="Calibri"/>
      </rPr>
      <t xml:space="preserve"> = netto luiergewicht + ochtendplas (ml)</t>
    </r>
  </si>
  <si>
    <r>
      <rPr>
        <sz val="9"/>
        <color rgb="FF000000"/>
        <rFont val="Calibri"/>
      </rPr>
      <t>Nachtelijke diurese</t>
    </r>
    <r>
      <rPr>
        <sz val="6"/>
        <color rgb="FF000000"/>
        <rFont val="Calibri"/>
      </rPr>
      <t xml:space="preserve"> = netto luiergewicht + ochtendplas (ml)</t>
    </r>
  </si>
  <si>
    <r>
      <rPr>
        <sz val="9"/>
        <color rgb="FF000000"/>
        <rFont val="Calibri"/>
      </rPr>
      <t>Nachtelijke diurese</t>
    </r>
    <r>
      <rPr>
        <sz val="6"/>
        <color rgb="FF000000"/>
        <rFont val="Calibri"/>
      </rPr>
      <t xml:space="preserve"> = netto luiergewicht + ochtendplas (ml)</t>
    </r>
  </si>
  <si>
    <t>Waarde</t>
  </si>
  <si>
    <t>Nachtelijke Diurese</t>
  </si>
  <si>
    <t>Voided volume PDB</t>
  </si>
  <si>
    <t>Max</t>
  </si>
  <si>
    <t>Gemiddeld</t>
  </si>
  <si>
    <t>Voided volume Uroflow</t>
  </si>
  <si>
    <t>Vochtinname</t>
  </si>
  <si>
    <r>
      <rPr>
        <sz val="9"/>
        <color rgb="FF000000"/>
        <rFont val="Calibri"/>
      </rPr>
      <t>Nachtelijke diurese</t>
    </r>
    <r>
      <rPr>
        <sz val="6"/>
        <color rgb="FF000000"/>
        <rFont val="Calibri"/>
      </rPr>
      <t xml:space="preserve"> = netto luiergewicht + ochtendplas (ml)</t>
    </r>
  </si>
  <si>
    <t>Ja</t>
  </si>
  <si>
    <t>Nee</t>
  </si>
  <si>
    <t>Druppels</t>
  </si>
  <si>
    <t>Pamper nat</t>
  </si>
  <si>
    <t>Klokvormig</t>
  </si>
  <si>
    <t>Goede dranken</t>
  </si>
  <si>
    <t>Vlekje in onderbroek</t>
  </si>
  <si>
    <t>Bed nat</t>
  </si>
  <si>
    <t>Torenvormig</t>
  </si>
  <si>
    <t>Bruisend</t>
  </si>
  <si>
    <t>Onderbroek nat</t>
  </si>
  <si>
    <t>Pamper nat, soms bed nat</t>
  </si>
  <si>
    <t>Plateauvormig</t>
  </si>
  <si>
    <t>Melk na 16u</t>
  </si>
  <si>
    <t>Bovenkleding nat</t>
  </si>
  <si>
    <t>Bed en pamper nat</t>
  </si>
  <si>
    <t>Staccato</t>
  </si>
  <si>
    <t>Koffie/thee</t>
  </si>
  <si>
    <t>Kousen nat</t>
  </si>
  <si>
    <t>Gefractioneerd</t>
  </si>
  <si>
    <t>Bovenkleding en kousen nat</t>
  </si>
  <si>
    <t>Variërend (druppels tot natte broek)</t>
  </si>
  <si>
    <t>Variërend (natte broek tot bovenkleding nat)</t>
  </si>
  <si>
    <t>Intermittent</t>
  </si>
  <si>
    <t xml:space="preserve">Continu </t>
  </si>
  <si>
    <t>Op toilet</t>
  </si>
  <si>
    <t>Vooruitgang</t>
  </si>
  <si>
    <t>Stabiel</t>
  </si>
  <si>
    <t>Achteruitgang</t>
  </si>
  <si>
    <t xml:space="preserve">Doktersbezoek 1 </t>
  </si>
  <si>
    <t xml:space="preserve">Doktersbezoek 2 </t>
  </si>
  <si>
    <t xml:space="preserve">Patient </t>
  </si>
  <si>
    <t>Tekst</t>
  </si>
  <si>
    <t xml:space="preserve">leeftijd </t>
  </si>
  <si>
    <t>gewicht</t>
  </si>
  <si>
    <t xml:space="preserve">lengte </t>
  </si>
  <si>
    <t xml:space="preserve">eerder al 6 maand droog geweest </t>
  </si>
  <si>
    <t>leeftijd eerste consult voor incontinentie</t>
  </si>
  <si>
    <t>Medische voorgeschiedenis</t>
  </si>
  <si>
    <t>Familiale anamnese</t>
  </si>
  <si>
    <t xml:space="preserve">Continentie voor urine overdag werd grotendeels bereikt op &lt;…&gt;  jaar.   </t>
  </si>
  <si>
    <t xml:space="preserve">Continentie voor faeces overdag werd grotendeels bereikt op &lt;….&gt; jaar. </t>
  </si>
  <si>
    <t xml:space="preserve">Zindelijkheidstraining gestart overdag op &lt;… &gt;. </t>
  </si>
  <si>
    <t xml:space="preserve">Zindelijkheidstraining gestart ’s nachts op  &lt;…..&gt;.  </t>
  </si>
  <si>
    <t>Tot. VV (ml)</t>
  </si>
  <si>
    <t>Dag 1</t>
  </si>
  <si>
    <t>Dag 2</t>
  </si>
  <si>
    <t>Dag 3</t>
  </si>
  <si>
    <t>Dag 4</t>
  </si>
  <si>
    <t>Dag 5</t>
  </si>
  <si>
    <t>Dag 6</t>
  </si>
  <si>
    <t>Dag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</si>
</sst>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rgb="FF000000"/>
      <name val="Calibri"/>
      <scheme val="minor"/>
    </font>
    <font>
      <sz val="12"/>
      <color rgb="FF000000"/>
      <name val="Calibri"/>
    </font>
    <font>
      <b/>
      <sz val="12"/>
      <color rgb="FF000000"/>
      <name val="Calibri"/>
    </font>
    <font>
      <sz val="12"/>
      <name val="Calibri"/>
    </font>
    <font>
      <sz val="9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9"/>
      <color rgb="FF000000"/>
      <name val="Calibri"/>
    </font>
    <font>
      <sz val="8"/>
      <color rgb="FF000000"/>
      <name val="Times New Roman"/>
    </font>
    <font>
      <sz val="10"/>
      <color rgb="FF000000"/>
      <name val="Times New Roman"/>
    </font>
    <font>
      <sz val="12"/>
      <color theme="1"/>
      <name val="Calibri"/>
    </font>
    <font>
      <sz val="9"/>
      <color rgb="FF000000"/>
      <name val="Arial"/>
    </font>
    <font>
      <sz val="9"/>
      <color rgb="FF000000"/>
      <name val="Courier New"/>
    </font>
    <font>
      <b/>
      <sz val="11"/>
      <color theme="1"/>
      <name val="Calibri"/>
    </font>
    <font>
      <sz val="14"/>
      <color rgb="FF000000"/>
      <name val="Calibri"/>
    </font>
    <font>
      <sz val="9"/>
      <color theme="1"/>
      <name val="Arial"/>
    </font>
    <font>
      <sz val="11"/>
      <color rgb="FF9C6500"/>
      <name val="Calibri"/>
    </font>
    <font>
      <sz val="12"/>
      <color rgb="FFD8D8D8"/>
      <name val="Calibri"/>
    </font>
    <font>
      <b/>
      <u/>
      <sz val="12"/>
      <color rgb="FF000000"/>
      <name val="Calibri"/>
    </font>
    <font>
      <sz val="6"/>
      <color rgb="FF000000"/>
      <name val="Calibri"/>
    </font>
    <font>
      <sz val="8"/>
      <name val="Calibri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92CDDC"/>
        <bgColor rgb="FF92CDDC"/>
      </patternFill>
    </fill>
    <fill>
      <patternFill patternType="solid">
        <fgColor rgb="FFE7E6E6"/>
        <bgColor rgb="FFE7E6E6"/>
      </patternFill>
    </fill>
    <fill>
      <patternFill patternType="solid">
        <fgColor rgb="FF2E75B5"/>
        <bgColor rgb="FF2E75B5"/>
      </patternFill>
    </fill>
    <fill>
      <patternFill patternType="solid">
        <fgColor rgb="FFD6DCE4"/>
        <bgColor rgb="FFD6DCE4"/>
      </patternFill>
    </fill>
    <fill>
      <patternFill patternType="solid">
        <fgColor rgb="FFFEF2CB"/>
        <bgColor rgb="FFFEF2CB"/>
      </patternFill>
    </fill>
    <fill>
      <patternFill patternType="solid">
        <fgColor rgb="FFFFEB9C"/>
        <bgColor rgb="FFFFEB9C"/>
      </patternFill>
    </fill>
    <fill>
      <patternFill patternType="solid">
        <fgColor theme="0"/>
        <bgColor theme="0"/>
      </patternFill>
    </fill>
  </fills>
  <borders count="3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9">
    <xf numFmtId="0" fontId="0" fillId="0" borderId="0" xfId="0" applyFont="1" applyAlignment="1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4" fillId="2" borderId="4" xfId="0" applyFont="1" applyFill="1" applyBorder="1"/>
    <xf numFmtId="11" fontId="4" fillId="2" borderId="4" xfId="0" applyNumberFormat="1" applyFont="1" applyFill="1" applyBorder="1" applyAlignment="1">
      <alignment horizontal="left"/>
    </xf>
    <xf numFmtId="0" fontId="4" fillId="2" borderId="4" xfId="0" applyFont="1" applyFill="1" applyBorder="1" applyAlignment="1">
      <alignment horizontal="left"/>
    </xf>
    <xf numFmtId="14" fontId="4" fillId="2" borderId="4" xfId="0" applyNumberFormat="1" applyFont="1" applyFill="1" applyBorder="1" applyAlignment="1">
      <alignment horizontal="left"/>
    </xf>
    <xf numFmtId="0" fontId="4" fillId="4" borderId="4" xfId="0" applyFont="1" applyFill="1" applyBorder="1" applyAlignment="1">
      <alignment horizontal="left"/>
    </xf>
    <xf numFmtId="0" fontId="5" fillId="5" borderId="4" xfId="0" applyFont="1" applyFill="1" applyBorder="1" applyAlignment="1">
      <alignment vertical="top"/>
    </xf>
    <xf numFmtId="0" fontId="5" fillId="0" borderId="5" xfId="0" applyFont="1" applyBorder="1"/>
    <xf numFmtId="0" fontId="6" fillId="0" borderId="0" xfId="0" applyFont="1"/>
    <xf numFmtId="0" fontId="1" fillId="2" borderId="4" xfId="0" applyFont="1" applyFill="1" applyBorder="1"/>
    <xf numFmtId="0" fontId="1" fillId="0" borderId="4" xfId="0" applyFont="1" applyBorder="1"/>
    <xf numFmtId="0" fontId="6" fillId="0" borderId="5" xfId="0" applyFont="1" applyBorder="1"/>
    <xf numFmtId="0" fontId="6" fillId="0" borderId="5" xfId="0" applyFont="1" applyBorder="1" applyAlignment="1">
      <alignment horizontal="left" vertical="center"/>
    </xf>
    <xf numFmtId="0" fontId="6" fillId="0" borderId="5" xfId="0" quotePrefix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6" fillId="0" borderId="4" xfId="0" applyFont="1" applyBorder="1"/>
    <xf numFmtId="0" fontId="4" fillId="0" borderId="4" xfId="0" applyFont="1" applyBorder="1" applyAlignment="1">
      <alignment horizontal="left" vertical="center" wrapText="1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/>
    <xf numFmtId="0" fontId="11" fillId="0" borderId="0" xfId="0" applyFont="1" applyAlignment="1">
      <alignment vertical="center"/>
    </xf>
    <xf numFmtId="0" fontId="4" fillId="0" borderId="4" xfId="0" applyFont="1" applyBorder="1"/>
    <xf numFmtId="0" fontId="12" fillId="0" borderId="0" xfId="0" applyFont="1" applyAlignment="1">
      <alignment horizontal="left" vertical="center"/>
    </xf>
    <xf numFmtId="0" fontId="6" fillId="0" borderId="4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/>
    </xf>
    <xf numFmtId="0" fontId="6" fillId="7" borderId="7" xfId="0" applyFont="1" applyFill="1" applyBorder="1" applyAlignment="1">
      <alignment horizontal="left" vertical="center" wrapText="1"/>
    </xf>
    <xf numFmtId="0" fontId="13" fillId="3" borderId="8" xfId="0" applyFont="1" applyFill="1" applyBorder="1" applyAlignment="1">
      <alignment horizontal="center" wrapText="1"/>
    </xf>
    <xf numFmtId="0" fontId="6" fillId="0" borderId="4" xfId="0" applyFont="1" applyBorder="1" applyAlignment="1">
      <alignment wrapText="1"/>
    </xf>
    <xf numFmtId="0" fontId="13" fillId="3" borderId="9" xfId="0" applyFont="1" applyFill="1" applyBorder="1" applyAlignment="1">
      <alignment horizontal="center" wrapText="1"/>
    </xf>
    <xf numFmtId="0" fontId="5" fillId="5" borderId="10" xfId="0" applyFont="1" applyFill="1" applyBorder="1"/>
    <xf numFmtId="0" fontId="6" fillId="0" borderId="11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11" xfId="0" applyFont="1" applyBorder="1" applyAlignment="1">
      <alignment wrapText="1"/>
    </xf>
    <xf numFmtId="0" fontId="6" fillId="0" borderId="5" xfId="0" applyFont="1" applyBorder="1" applyAlignment="1">
      <alignment wrapText="1"/>
    </xf>
    <xf numFmtId="0" fontId="4" fillId="2" borderId="1" xfId="0" applyFont="1" applyFill="1" applyBorder="1"/>
    <xf numFmtId="0" fontId="4" fillId="2" borderId="1" xfId="0" applyFont="1" applyFill="1" applyBorder="1" applyAlignment="1">
      <alignment vertical="center"/>
    </xf>
    <xf numFmtId="0" fontId="4" fillId="2" borderId="4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vertical="center"/>
    </xf>
    <xf numFmtId="0" fontId="4" fillId="4" borderId="4" xfId="0" applyFont="1" applyFill="1" applyBorder="1" applyAlignment="1">
      <alignment vertical="center"/>
    </xf>
    <xf numFmtId="0" fontId="4" fillId="4" borderId="4" xfId="0" applyFont="1" applyFill="1" applyBorder="1" applyAlignment="1">
      <alignment horizontal="right" vertical="center"/>
    </xf>
    <xf numFmtId="0" fontId="4" fillId="2" borderId="10" xfId="0" applyFont="1" applyFill="1" applyBorder="1" applyAlignment="1">
      <alignment horizontal="left" vertical="center"/>
    </xf>
    <xf numFmtId="0" fontId="4" fillId="8" borderId="4" xfId="0" applyFont="1" applyFill="1" applyBorder="1" applyAlignment="1">
      <alignment horizontal="left" vertical="center"/>
    </xf>
    <xf numFmtId="1" fontId="4" fillId="9" borderId="4" xfId="0" applyNumberFormat="1" applyFont="1" applyFill="1" applyBorder="1" applyAlignment="1">
      <alignment vertical="center"/>
    </xf>
    <xf numFmtId="0" fontId="4" fillId="0" borderId="4" xfId="0" applyFont="1" applyBorder="1" applyAlignment="1">
      <alignment horizontal="left" vertical="center"/>
    </xf>
    <xf numFmtId="0" fontId="4" fillId="9" borderId="4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center" vertical="center"/>
    </xf>
    <xf numFmtId="0" fontId="15" fillId="0" borderId="0" xfId="0" applyFont="1"/>
    <xf numFmtId="0" fontId="15" fillId="2" borderId="4" xfId="0" applyFont="1" applyFill="1" applyBorder="1"/>
    <xf numFmtId="0" fontId="4" fillId="2" borderId="16" xfId="0" applyFont="1" applyFill="1" applyBorder="1" applyAlignment="1">
      <alignment horizontal="left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left" vertical="center"/>
    </xf>
    <xf numFmtId="0" fontId="4" fillId="4" borderId="18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2" fontId="4" fillId="4" borderId="20" xfId="0" applyNumberFormat="1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4" borderId="22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/>
    </xf>
    <xf numFmtId="0" fontId="15" fillId="2" borderId="1" xfId="0" applyFont="1" applyFill="1" applyBorder="1"/>
    <xf numFmtId="0" fontId="4" fillId="2" borderId="23" xfId="0" applyFont="1" applyFill="1" applyBorder="1" applyAlignment="1">
      <alignment vertical="center"/>
    </xf>
    <xf numFmtId="0" fontId="4" fillId="2" borderId="24" xfId="0" applyFont="1" applyFill="1" applyBorder="1" applyAlignment="1">
      <alignment horizontal="left" vertical="center"/>
    </xf>
    <xf numFmtId="0" fontId="4" fillId="4" borderId="25" xfId="0" applyFont="1" applyFill="1" applyBorder="1" applyAlignment="1">
      <alignment horizontal="left" vertical="center"/>
    </xf>
    <xf numFmtId="0" fontId="16" fillId="10" borderId="1" xfId="0" applyFont="1" applyFill="1" applyBorder="1" applyAlignment="1">
      <alignment vertical="center"/>
    </xf>
    <xf numFmtId="0" fontId="4" fillId="2" borderId="16" xfId="0" applyFont="1" applyFill="1" applyBorder="1" applyAlignment="1">
      <alignment vertical="center"/>
    </xf>
    <xf numFmtId="0" fontId="1" fillId="3" borderId="4" xfId="0" applyFont="1" applyFill="1" applyBorder="1" applyAlignment="1">
      <alignment horizontal="center"/>
    </xf>
    <xf numFmtId="0" fontId="1" fillId="6" borderId="4" xfId="0" applyFont="1" applyFill="1" applyBorder="1"/>
    <xf numFmtId="0" fontId="1" fillId="3" borderId="8" xfId="0" applyFont="1" applyFill="1" applyBorder="1"/>
    <xf numFmtId="0" fontId="1" fillId="3" borderId="4" xfId="0" applyFont="1" applyFill="1" applyBorder="1"/>
    <xf numFmtId="2" fontId="1" fillId="3" borderId="4" xfId="0" applyNumberFormat="1" applyFont="1" applyFill="1" applyBorder="1" applyAlignment="1">
      <alignment horizontal="right"/>
    </xf>
    <xf numFmtId="0" fontId="17" fillId="11" borderId="8" xfId="0" applyFont="1" applyFill="1" applyBorder="1"/>
    <xf numFmtId="0" fontId="17" fillId="11" borderId="4" xfId="0" applyFont="1" applyFill="1" applyBorder="1" applyAlignment="1">
      <alignment horizontal="right"/>
    </xf>
    <xf numFmtId="0" fontId="1" fillId="0" borderId="29" xfId="0" applyFont="1" applyBorder="1"/>
    <xf numFmtId="0" fontId="18" fillId="0" borderId="0" xfId="0" applyFont="1"/>
    <xf numFmtId="0" fontId="1" fillId="0" borderId="0" xfId="0" applyFont="1"/>
    <xf numFmtId="11" fontId="10" fillId="0" borderId="0" xfId="0" applyNumberFormat="1" applyFont="1"/>
    <xf numFmtId="0" fontId="2" fillId="3" borderId="2" xfId="0" applyFont="1" applyFill="1" applyBorder="1" applyAlignment="1">
      <alignment horizontal="center"/>
    </xf>
    <xf numFmtId="0" fontId="3" fillId="0" borderId="3" xfId="0" applyFont="1" applyBorder="1"/>
    <xf numFmtId="0" fontId="1" fillId="3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/>
    </xf>
    <xf numFmtId="0" fontId="3" fillId="0" borderId="12" xfId="0" applyFont="1" applyBorder="1"/>
    <xf numFmtId="0" fontId="1" fillId="3" borderId="13" xfId="0" applyFont="1" applyFill="1" applyBorder="1" applyAlignment="1">
      <alignment horizontal="center" vertical="center"/>
    </xf>
    <xf numFmtId="0" fontId="3" fillId="0" borderId="14" xfId="0" applyFont="1" applyBorder="1"/>
    <xf numFmtId="0" fontId="3" fillId="0" borderId="15" xfId="0" applyFont="1" applyBorder="1"/>
    <xf numFmtId="0" fontId="7" fillId="3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/>
    </xf>
    <xf numFmtId="0" fontId="16" fillId="10" borderId="26" xfId="0" applyFont="1" applyFill="1" applyBorder="1" applyAlignment="1">
      <alignment vertical="center"/>
    </xf>
    <xf numFmtId="0" fontId="3" fillId="0" borderId="27" xfId="0" applyFont="1" applyBorder="1"/>
    <xf numFmtId="0" fontId="2" fillId="0" borderId="2" xfId="0" applyFont="1" applyBorder="1" applyAlignment="1">
      <alignment horizontal="center"/>
    </xf>
    <xf numFmtId="0" fontId="1" fillId="6" borderId="2" xfId="0" applyFont="1" applyFill="1" applyBorder="1" applyAlignment="1">
      <alignment horizontal="left"/>
    </xf>
    <xf numFmtId="0" fontId="1" fillId="3" borderId="28" xfId="0" applyFont="1" applyFill="1" applyBorder="1" applyAlignment="1">
      <alignment horizontal="left" vertical="center"/>
    </xf>
    <xf numFmtId="0" fontId="3" fillId="0" borderId="5" xfId="0" applyFont="1" applyBorder="1"/>
    <xf numFmtId="0" fontId="17" fillId="11" borderId="28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/>
    </xf>
    <xf numFmtId="2" fontId="4" fillId="4" borderId="4" xfId="0" applyNumberFormat="1" applyFont="1" applyFill="1" applyBorder="1" applyAlignment="1">
      <alignment horizontal="right" vertic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customschemas.google.com/relationships/workbookmetadata" Target="metadata"/><Relationship Id="rId2" Type="http://schemas.openxmlformats.org/officeDocument/2006/relationships/worksheet" Target="worksheets/sheet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2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nl-BE" b="1" i="0">
                <a:solidFill>
                  <a:srgbClr val="757575"/>
                </a:solidFill>
                <a:latin typeface="+mn-lt"/>
              </a:rPr>
              <a:t>Nachtelijke Diurese (ml)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6.1241319357373293E-2"/>
          <c:y val="0.13978018372703399"/>
          <c:w val="0.80915325074811495"/>
          <c:h val="0.68773512685914295"/>
        </c:manualLayout>
      </c:layout>
      <c:lineChart>
        <c:grouping val="standard"/>
        <c:varyColors val="0"/>
        <c:ser>
          <c:idx val="0"/>
          <c:order val="0"/>
          <c:tx>
            <c:strRef>
              <c:f>Evolutie!$B$3</c:f>
              <c:strCache>
                <c:ptCount val="1"/>
                <c:pt idx="0">
                  <c:v>Nachtelijke Diurese</c:v>
                </c:pt>
              </c:strCache>
            </c:strRef>
          </c:tx>
          <c:marker>
            <c:symbol val="none"/>
          </c:marker>
          <c:val>
            <c:numRef>
              <c:f>Evolutie!$D$3:$J$3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A6-4D23-8CC7-9E8FE4D7D6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5866639"/>
        <c:axId val="180185914"/>
      </c:lineChart>
      <c:catAx>
        <c:axId val="3758666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nl-BE"/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txPr>
          <a:bodyPr rot="5400000"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endParaRPr lang="nl-BE"/>
          </a:p>
        </c:txPr>
        <c:crossAx val="180185914"/>
        <c:crosses val="autoZero"/>
        <c:auto val="1"/>
        <c:lblAlgn val="ctr"/>
        <c:lblOffset val="100"/>
        <c:noMultiLvlLbl val="1"/>
      </c:catAx>
      <c:valAx>
        <c:axId val="180185914"/>
        <c:scaling>
          <c:orientation val="minMax"/>
        </c:scaling>
        <c:delete val="0"/>
        <c:axPos val="l"/>
        <c:numFmt formatCode="General" sourceLinked="1"/>
        <c:majorTickMark val="cross"/>
        <c:minorTickMark val="cross"/>
        <c:tickLblPos val="nextTo"/>
        <c:spPr>
          <a:ln>
            <a:noFill/>
          </a:ln>
        </c:spPr>
        <c:crossAx val="375866639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nl-BE" b="1" i="0">
                <a:solidFill>
                  <a:srgbClr val="757575"/>
                </a:solidFill>
                <a:latin typeface="+mn-lt"/>
              </a:rPr>
              <a:t>Max Voided Volume (ml)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6.1241319357373293E-2"/>
          <c:y val="0.13978018372703399"/>
          <c:w val="0.75649932293495192"/>
          <c:h val="0.68773512685914295"/>
        </c:manualLayout>
      </c:layout>
      <c:lineChart>
        <c:grouping val="standard"/>
        <c:varyColors val="0"/>
        <c:ser>
          <c:idx val="0"/>
          <c:order val="0"/>
          <c:tx>
            <c:strRef>
              <c:f>Evolutie!$C$4</c:f>
              <c:strCache>
                <c:ptCount val="1"/>
                <c:pt idx="0">
                  <c:v>Max</c:v>
                </c:pt>
              </c:strCache>
            </c:strRef>
          </c:tx>
          <c:marker>
            <c:symbol val="none"/>
          </c:marker>
          <c:val>
            <c:numRef>
              <c:f>Evolutie!$D$4:$J$4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17-4159-BCDC-128AB8D6EA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7674198"/>
        <c:axId val="1550208039"/>
      </c:lineChart>
      <c:catAx>
        <c:axId val="14776741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nl-BE"/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txPr>
          <a:bodyPr rot="5400000"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endParaRPr lang="nl-BE"/>
          </a:p>
        </c:txPr>
        <c:crossAx val="1550208039"/>
        <c:crosses val="autoZero"/>
        <c:auto val="1"/>
        <c:lblAlgn val="ctr"/>
        <c:lblOffset val="100"/>
        <c:noMultiLvlLbl val="1"/>
      </c:catAx>
      <c:valAx>
        <c:axId val="1550208039"/>
        <c:scaling>
          <c:orientation val="minMax"/>
        </c:scaling>
        <c:delete val="0"/>
        <c:axPos val="l"/>
        <c:numFmt formatCode="General" sourceLinked="1"/>
        <c:majorTickMark val="cross"/>
        <c:minorTickMark val="cross"/>
        <c:tickLblPos val="nextTo"/>
        <c:spPr>
          <a:ln>
            <a:noFill/>
          </a:ln>
        </c:spPr>
        <c:crossAx val="1477674198"/>
        <c:crosses val="autoZero"/>
        <c:crossBetween val="between"/>
      </c:valAx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nl-BE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nl-BE" b="1" i="0">
                <a:solidFill>
                  <a:srgbClr val="757575"/>
                </a:solidFill>
                <a:latin typeface="+mn-lt"/>
              </a:rPr>
              <a:t>Vochtinname (ml)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6.1241319357373293E-2"/>
          <c:y val="0.13978018372703399"/>
          <c:w val="0.80915325074811495"/>
          <c:h val="0.68773512685914295"/>
        </c:manualLayout>
      </c:layout>
      <c:lineChart>
        <c:grouping val="standard"/>
        <c:varyColors val="0"/>
        <c:ser>
          <c:idx val="0"/>
          <c:order val="0"/>
          <c:tx>
            <c:strRef>
              <c:f>Evolutie!$B$8</c:f>
              <c:strCache>
                <c:ptCount val="1"/>
                <c:pt idx="0">
                  <c:v>Vochtinname</c:v>
                </c:pt>
              </c:strCache>
            </c:strRef>
          </c:tx>
          <c:marker>
            <c:symbol val="none"/>
          </c:marker>
          <c:val>
            <c:numRef>
              <c:f>Evolutie!$D$8:$J$8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C2-4451-9200-CFF6A1F94B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9854556"/>
        <c:axId val="1963138056"/>
      </c:lineChart>
      <c:catAx>
        <c:axId val="11398545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nl-BE"/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txPr>
          <a:bodyPr rot="5400000"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endParaRPr lang="nl-BE"/>
          </a:p>
        </c:txPr>
        <c:crossAx val="1963138056"/>
        <c:crosses val="autoZero"/>
        <c:auto val="1"/>
        <c:lblAlgn val="ctr"/>
        <c:lblOffset val="100"/>
        <c:noMultiLvlLbl val="1"/>
      </c:catAx>
      <c:valAx>
        <c:axId val="1963138056"/>
        <c:scaling>
          <c:orientation val="minMax"/>
        </c:scaling>
        <c:delete val="0"/>
        <c:axPos val="l"/>
        <c:numFmt formatCode="General" sourceLinked="1"/>
        <c:majorTickMark val="cross"/>
        <c:minorTickMark val="cross"/>
        <c:tickLblPos val="nextTo"/>
        <c:spPr>
          <a:ln>
            <a:noFill/>
          </a:ln>
        </c:spPr>
        <c:crossAx val="1139854556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nl-BE" b="1" i="0">
                <a:solidFill>
                  <a:srgbClr val="757575"/>
                </a:solidFill>
                <a:latin typeface="+mn-lt"/>
              </a:rPr>
              <a:t>Gemiddeld Voided Volume (ml)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6.1241319357373293E-2"/>
          <c:y val="0.13978018372703399"/>
          <c:w val="0.75649932293495192"/>
          <c:h val="0.68773512685914295"/>
        </c:manualLayout>
      </c:layout>
      <c:lineChart>
        <c:grouping val="standard"/>
        <c:varyColors val="0"/>
        <c:ser>
          <c:idx val="0"/>
          <c:order val="0"/>
          <c:tx>
            <c:strRef>
              <c:f>Evolutie!$C$5</c:f>
              <c:strCache>
                <c:ptCount val="1"/>
                <c:pt idx="0">
                  <c:v>Gemiddeld</c:v>
                </c:pt>
              </c:strCache>
            </c:strRef>
          </c:tx>
          <c:marker>
            <c:symbol val="none"/>
          </c:marker>
          <c:val>
            <c:numRef>
              <c:f>Evolutie!$D$5:$J$5</c:f>
              <c:numCache>
                <c:formatCode>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40-4AB1-BFA9-DCF1C0E7B0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7674198"/>
        <c:axId val="1550208039"/>
      </c:lineChart>
      <c:catAx>
        <c:axId val="14776741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nl-BE"/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txPr>
          <a:bodyPr rot="5400000"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endParaRPr lang="nl-BE"/>
          </a:p>
        </c:txPr>
        <c:crossAx val="1550208039"/>
        <c:crosses val="autoZero"/>
        <c:auto val="1"/>
        <c:lblAlgn val="ctr"/>
        <c:lblOffset val="100"/>
        <c:noMultiLvlLbl val="1"/>
      </c:catAx>
      <c:valAx>
        <c:axId val="1550208039"/>
        <c:scaling>
          <c:orientation val="minMax"/>
        </c:scaling>
        <c:delete val="0"/>
        <c:axPos val="l"/>
        <c:numFmt formatCode="0.00" sourceLinked="1"/>
        <c:majorTickMark val="cross"/>
        <c:minorTickMark val="cross"/>
        <c:tickLblPos val="nextTo"/>
        <c:spPr>
          <a:ln>
            <a:noFill/>
          </a:ln>
        </c:spPr>
        <c:crossAx val="1477674198"/>
        <c:crosses val="autoZero"/>
        <c:crossBetween val="between"/>
      </c:valAx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nl-BE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104775</xdr:colOff>
      <xdr:row>8</xdr:row>
      <xdr:rowOff>171450</xdr:rowOff>
    </xdr:from>
    <xdr:ext cx="8343900" cy="2390775"/>
    <xdr:graphicFrame macro="">
      <xdr:nvGraphicFramePr>
        <xdr:cNvPr id="1131480023" name="Chart 1">
          <a:extLst>
            <a:ext uri="{FF2B5EF4-FFF2-40B4-BE49-F238E27FC236}">
              <a16:creationId xmlns:a16="http://schemas.microsoft.com/office/drawing/2014/main" id="{00000000-0008-0000-0800-0000D70371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142875</xdr:colOff>
      <xdr:row>21</xdr:row>
      <xdr:rowOff>123825</xdr:rowOff>
    </xdr:from>
    <xdr:ext cx="8343900" cy="2381250"/>
    <xdr:graphicFrame macro="">
      <xdr:nvGraphicFramePr>
        <xdr:cNvPr id="1134316179" name="Chart 2">
          <a:extLst>
            <a:ext uri="{FF2B5EF4-FFF2-40B4-BE49-F238E27FC236}">
              <a16:creationId xmlns:a16="http://schemas.microsoft.com/office/drawing/2014/main" id="{00000000-0008-0000-0800-0000934A9C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2</xdr:col>
      <xdr:colOff>209550</xdr:colOff>
      <xdr:row>46</xdr:row>
      <xdr:rowOff>171450</xdr:rowOff>
    </xdr:from>
    <xdr:ext cx="8343900" cy="2390775"/>
    <xdr:graphicFrame macro="">
      <xdr:nvGraphicFramePr>
        <xdr:cNvPr id="1191018217" name="Chart 3">
          <a:extLst>
            <a:ext uri="{FF2B5EF4-FFF2-40B4-BE49-F238E27FC236}">
              <a16:creationId xmlns:a16="http://schemas.microsoft.com/office/drawing/2014/main" id="{00000000-0008-0000-0800-0000E97EFD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2</xdr:col>
      <xdr:colOff>150450</xdr:colOff>
      <xdr:row>33</xdr:row>
      <xdr:rowOff>190778</xdr:rowOff>
    </xdr:from>
    <xdr:ext cx="8343900" cy="2381250"/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AE238578-F69F-0D73-8D70-499A3C069D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</sheetPr>
  <dimension ref="A1:D978"/>
  <sheetViews>
    <sheetView workbookViewId="0">
      <selection activeCell="B6" sqref="B6"/>
    </sheetView>
  </sheetViews>
  <sheetFormatPr defaultColWidth="11.25" defaultRowHeight="15" customHeight="1" x14ac:dyDescent="0.35"/>
  <cols>
    <col min="1" max="1" width="18.33203125" customWidth="1"/>
    <col min="2" max="2" width="10.58203125" customWidth="1"/>
    <col min="3" max="26" width="5.08203125" customWidth="1"/>
  </cols>
  <sheetData>
    <row r="1" spans="1:4" ht="15.75" customHeight="1" x14ac:dyDescent="0.35">
      <c r="A1" s="1"/>
      <c r="B1" s="2"/>
      <c r="C1" s="1"/>
      <c r="D1" s="1"/>
    </row>
    <row r="2" spans="1:4" ht="24.75" customHeight="1" x14ac:dyDescent="0.35">
      <c r="A2" s="86" t="s">
        <v>0</v>
      </c>
      <c r="B2" s="87"/>
      <c r="C2" s="1"/>
      <c r="D2" s="1"/>
    </row>
    <row r="3" spans="1:4" ht="15.75" customHeight="1" x14ac:dyDescent="0.35">
      <c r="A3" s="3" t="s">
        <v>1</v>
      </c>
      <c r="B3" s="4"/>
      <c r="C3" s="1"/>
      <c r="D3" s="1"/>
    </row>
    <row r="4" spans="1:4" ht="15.75" customHeight="1" x14ac:dyDescent="0.35">
      <c r="A4" s="3" t="s">
        <v>2</v>
      </c>
      <c r="B4" s="5"/>
      <c r="C4" s="1"/>
      <c r="D4" s="1"/>
    </row>
    <row r="5" spans="1:4" ht="15.75" customHeight="1" x14ac:dyDescent="0.35">
      <c r="A5" s="3" t="s">
        <v>3</v>
      </c>
      <c r="B5" s="6"/>
      <c r="C5" s="1"/>
      <c r="D5" s="1"/>
    </row>
    <row r="6" spans="1:4" ht="15.75" customHeight="1" x14ac:dyDescent="0.35">
      <c r="A6" s="3" t="s">
        <v>4</v>
      </c>
      <c r="B6" s="7">
        <f ca="1">TRUNC(YEARFRAC(B5,TODAY()))</f>
        <v>126</v>
      </c>
      <c r="C6" s="1"/>
      <c r="D6" s="1"/>
    </row>
    <row r="7" spans="1:4" ht="15.75" customHeight="1" x14ac:dyDescent="0.35">
      <c r="A7" s="1"/>
      <c r="B7" s="2"/>
      <c r="C7" s="1"/>
      <c r="D7" s="1"/>
    </row>
    <row r="8" spans="1:4" ht="15.75" customHeight="1" x14ac:dyDescent="0.35">
      <c r="A8" s="1"/>
      <c r="B8" s="2"/>
      <c r="C8" s="1"/>
      <c r="D8" s="1"/>
    </row>
    <row r="9" spans="1:4" ht="15.75" customHeight="1" x14ac:dyDescent="0.35">
      <c r="A9" s="1"/>
      <c r="B9" s="2"/>
      <c r="C9" s="1"/>
      <c r="D9" s="1"/>
    </row>
    <row r="10" spans="1:4" ht="15.75" customHeight="1" x14ac:dyDescent="0.35">
      <c r="A10" s="1"/>
      <c r="B10" s="2"/>
      <c r="C10" s="1"/>
      <c r="D10" s="1"/>
    </row>
    <row r="11" spans="1:4" ht="15.75" customHeight="1" x14ac:dyDescent="0.35">
      <c r="A11" s="1"/>
      <c r="B11" s="2"/>
      <c r="C11" s="1"/>
      <c r="D11" s="1"/>
    </row>
    <row r="12" spans="1:4" ht="15.75" customHeight="1" x14ac:dyDescent="0.35">
      <c r="A12" s="1"/>
      <c r="B12" s="2"/>
      <c r="C12" s="1"/>
      <c r="D12" s="1"/>
    </row>
    <row r="13" spans="1:4" ht="15.75" customHeight="1" x14ac:dyDescent="0.35">
      <c r="A13" s="1"/>
      <c r="B13" s="2"/>
      <c r="C13" s="1"/>
      <c r="D13" s="1"/>
    </row>
    <row r="14" spans="1:4" ht="15.75" customHeight="1" x14ac:dyDescent="0.35">
      <c r="A14" s="1"/>
      <c r="B14" s="2"/>
      <c r="C14" s="1"/>
      <c r="D14" s="1"/>
    </row>
    <row r="15" spans="1:4" ht="15.75" customHeight="1" x14ac:dyDescent="0.35">
      <c r="A15" s="1"/>
      <c r="B15" s="2"/>
    </row>
    <row r="16" spans="1:4" ht="15.75" customHeight="1" x14ac:dyDescent="0.35">
      <c r="A16" s="1"/>
      <c r="B16" s="2"/>
    </row>
    <row r="17" spans="1:2" ht="15.75" customHeight="1" x14ac:dyDescent="0.35">
      <c r="A17" s="1"/>
      <c r="B17" s="2"/>
    </row>
    <row r="18" spans="1:2" ht="15.75" customHeight="1" x14ac:dyDescent="0.35">
      <c r="A18" s="1"/>
      <c r="B18" s="2"/>
    </row>
    <row r="19" spans="1:2" ht="15.75" customHeight="1" x14ac:dyDescent="0.35">
      <c r="A19" s="1"/>
      <c r="B19" s="2"/>
    </row>
    <row r="20" spans="1:2" ht="15.75" customHeight="1" x14ac:dyDescent="0.35">
      <c r="A20" s="1"/>
      <c r="B20" s="2"/>
    </row>
    <row r="21" spans="1:2" ht="15.75" customHeight="1" x14ac:dyDescent="0.35">
      <c r="A21" s="1"/>
      <c r="B21" s="2"/>
    </row>
    <row r="22" spans="1:2" ht="15.75" customHeight="1" x14ac:dyDescent="0.35">
      <c r="A22" s="1"/>
      <c r="B22" s="2"/>
    </row>
    <row r="23" spans="1:2" ht="15.75" customHeight="1" x14ac:dyDescent="0.35">
      <c r="A23" s="1"/>
      <c r="B23" s="2"/>
    </row>
    <row r="24" spans="1:2" ht="15.75" customHeight="1" x14ac:dyDescent="0.35">
      <c r="A24" s="1"/>
      <c r="B24" s="2"/>
    </row>
    <row r="25" spans="1:2" ht="15.75" customHeight="1" x14ac:dyDescent="0.35">
      <c r="A25" s="1"/>
      <c r="B25" s="2"/>
    </row>
    <row r="26" spans="1:2" ht="15.75" customHeight="1" x14ac:dyDescent="0.35">
      <c r="A26" s="1"/>
      <c r="B26" s="2"/>
    </row>
    <row r="27" spans="1:2" ht="15.75" customHeight="1" x14ac:dyDescent="0.35">
      <c r="A27" s="1"/>
      <c r="B27" s="2"/>
    </row>
    <row r="28" spans="1:2" ht="15.75" customHeight="1" x14ac:dyDescent="0.35">
      <c r="A28" s="1"/>
      <c r="B28" s="2"/>
    </row>
    <row r="29" spans="1:2" ht="15.75" customHeight="1" x14ac:dyDescent="0.35">
      <c r="A29" s="1"/>
      <c r="B29" s="2"/>
    </row>
    <row r="30" spans="1:2" ht="15.75" customHeight="1" x14ac:dyDescent="0.35">
      <c r="A30" s="1"/>
      <c r="B30" s="2"/>
    </row>
    <row r="31" spans="1:2" ht="15.75" customHeight="1" x14ac:dyDescent="0.35">
      <c r="A31" s="1"/>
      <c r="B31" s="2"/>
    </row>
    <row r="32" spans="1:2" ht="15.75" customHeight="1" x14ac:dyDescent="0.35">
      <c r="A32" s="1"/>
      <c r="B32" s="2"/>
    </row>
    <row r="33" spans="1:2" ht="15.75" customHeight="1" x14ac:dyDescent="0.35">
      <c r="A33" s="1"/>
      <c r="B33" s="2"/>
    </row>
    <row r="34" spans="1:2" ht="15.75" customHeight="1" x14ac:dyDescent="0.35">
      <c r="A34" s="1"/>
      <c r="B34" s="2"/>
    </row>
    <row r="35" spans="1:2" ht="15.75" customHeight="1" x14ac:dyDescent="0.35">
      <c r="A35" s="1"/>
      <c r="B35" s="2"/>
    </row>
    <row r="36" spans="1:2" ht="15.75" customHeight="1" x14ac:dyDescent="0.35">
      <c r="A36" s="1"/>
      <c r="B36" s="2"/>
    </row>
    <row r="37" spans="1:2" ht="15.75" customHeight="1" x14ac:dyDescent="0.35">
      <c r="A37" s="1"/>
      <c r="B37" s="2"/>
    </row>
    <row r="38" spans="1:2" ht="15.75" customHeight="1" x14ac:dyDescent="0.35">
      <c r="A38" s="1"/>
      <c r="B38" s="2"/>
    </row>
    <row r="39" spans="1:2" ht="15.75" customHeight="1" x14ac:dyDescent="0.35">
      <c r="A39" s="1"/>
      <c r="B39" s="2"/>
    </row>
    <row r="40" spans="1:2" ht="15.75" customHeight="1" x14ac:dyDescent="0.35">
      <c r="A40" s="1"/>
      <c r="B40" s="2"/>
    </row>
    <row r="41" spans="1:2" ht="15.75" customHeight="1" x14ac:dyDescent="0.35">
      <c r="A41" s="1"/>
      <c r="B41" s="2"/>
    </row>
    <row r="42" spans="1:2" ht="15.75" customHeight="1" x14ac:dyDescent="0.35">
      <c r="A42" s="1"/>
      <c r="B42" s="2"/>
    </row>
    <row r="43" spans="1:2" ht="15.75" customHeight="1" x14ac:dyDescent="0.35">
      <c r="A43" s="1"/>
      <c r="B43" s="2"/>
    </row>
    <row r="44" spans="1:2" ht="15.75" customHeight="1" x14ac:dyDescent="0.35">
      <c r="A44" s="1"/>
      <c r="B44" s="2"/>
    </row>
    <row r="45" spans="1:2" ht="15.75" customHeight="1" x14ac:dyDescent="0.35">
      <c r="A45" s="1"/>
      <c r="B45" s="2"/>
    </row>
    <row r="46" spans="1:2" ht="15.75" customHeight="1" x14ac:dyDescent="0.35">
      <c r="A46" s="1"/>
      <c r="B46" s="2"/>
    </row>
    <row r="47" spans="1:2" ht="15.75" customHeight="1" x14ac:dyDescent="0.35">
      <c r="A47" s="1"/>
      <c r="B47" s="2"/>
    </row>
    <row r="48" spans="1:2" ht="15.75" customHeight="1" x14ac:dyDescent="0.35">
      <c r="A48" s="1"/>
      <c r="B48" s="2"/>
    </row>
    <row r="49" spans="1:2" ht="15.75" customHeight="1" x14ac:dyDescent="0.35">
      <c r="A49" s="1"/>
      <c r="B49" s="2"/>
    </row>
    <row r="50" spans="1:2" ht="15.75" customHeight="1" x14ac:dyDescent="0.35">
      <c r="A50" s="1"/>
      <c r="B50" s="2"/>
    </row>
    <row r="51" spans="1:2" ht="15.75" customHeight="1" x14ac:dyDescent="0.35">
      <c r="A51" s="1"/>
      <c r="B51" s="2"/>
    </row>
    <row r="52" spans="1:2" ht="15.75" customHeight="1" x14ac:dyDescent="0.35">
      <c r="A52" s="1"/>
      <c r="B52" s="2"/>
    </row>
    <row r="53" spans="1:2" ht="15.75" customHeight="1" x14ac:dyDescent="0.35">
      <c r="A53" s="1"/>
      <c r="B53" s="2"/>
    </row>
    <row r="54" spans="1:2" ht="15.75" customHeight="1" x14ac:dyDescent="0.35">
      <c r="A54" s="1"/>
      <c r="B54" s="2"/>
    </row>
    <row r="55" spans="1:2" ht="15.75" customHeight="1" x14ac:dyDescent="0.35">
      <c r="A55" s="1"/>
      <c r="B55" s="2"/>
    </row>
    <row r="56" spans="1:2" ht="15.75" customHeight="1" x14ac:dyDescent="0.35">
      <c r="A56" s="1"/>
      <c r="B56" s="2"/>
    </row>
    <row r="57" spans="1:2" ht="15.75" customHeight="1" x14ac:dyDescent="0.35">
      <c r="A57" s="1"/>
      <c r="B57" s="2"/>
    </row>
    <row r="58" spans="1:2" ht="15.75" customHeight="1" x14ac:dyDescent="0.35">
      <c r="A58" s="1"/>
      <c r="B58" s="2"/>
    </row>
    <row r="59" spans="1:2" ht="15.75" customHeight="1" x14ac:dyDescent="0.35">
      <c r="A59" s="1"/>
      <c r="B59" s="2"/>
    </row>
    <row r="60" spans="1:2" ht="15.75" customHeight="1" x14ac:dyDescent="0.35">
      <c r="A60" s="1"/>
      <c r="B60" s="2"/>
    </row>
    <row r="61" spans="1:2" ht="15.75" customHeight="1" x14ac:dyDescent="0.35">
      <c r="A61" s="1"/>
      <c r="B61" s="2"/>
    </row>
    <row r="62" spans="1:2" ht="15.75" customHeight="1" x14ac:dyDescent="0.35">
      <c r="A62" s="1"/>
      <c r="B62" s="2"/>
    </row>
    <row r="63" spans="1:2" ht="15.75" customHeight="1" x14ac:dyDescent="0.35">
      <c r="A63" s="1"/>
      <c r="B63" s="2"/>
    </row>
    <row r="64" spans="1:2" ht="15.75" customHeight="1" x14ac:dyDescent="0.35">
      <c r="A64" s="1"/>
      <c r="B64" s="2"/>
    </row>
    <row r="65" spans="1:2" ht="15.75" customHeight="1" x14ac:dyDescent="0.35">
      <c r="A65" s="1"/>
      <c r="B65" s="2"/>
    </row>
    <row r="66" spans="1:2" ht="15.75" customHeight="1" x14ac:dyDescent="0.35">
      <c r="A66" s="1"/>
      <c r="B66" s="2"/>
    </row>
    <row r="67" spans="1:2" ht="15.75" customHeight="1" x14ac:dyDescent="0.35">
      <c r="A67" s="1"/>
      <c r="B67" s="2"/>
    </row>
    <row r="68" spans="1:2" ht="15.75" customHeight="1" x14ac:dyDescent="0.35">
      <c r="A68" s="1"/>
      <c r="B68" s="2"/>
    </row>
    <row r="69" spans="1:2" ht="15.75" customHeight="1" x14ac:dyDescent="0.35">
      <c r="A69" s="1"/>
      <c r="B69" s="2"/>
    </row>
    <row r="70" spans="1:2" ht="15.75" customHeight="1" x14ac:dyDescent="0.35">
      <c r="A70" s="1"/>
      <c r="B70" s="2"/>
    </row>
    <row r="71" spans="1:2" ht="15.75" customHeight="1" x14ac:dyDescent="0.35">
      <c r="A71" s="1"/>
      <c r="B71" s="2"/>
    </row>
    <row r="72" spans="1:2" ht="15.75" customHeight="1" x14ac:dyDescent="0.35">
      <c r="A72" s="1"/>
      <c r="B72" s="2"/>
    </row>
    <row r="73" spans="1:2" ht="15.75" customHeight="1" x14ac:dyDescent="0.35">
      <c r="A73" s="1"/>
      <c r="B73" s="2"/>
    </row>
    <row r="74" spans="1:2" ht="15.75" customHeight="1" x14ac:dyDescent="0.35">
      <c r="A74" s="1"/>
      <c r="B74" s="2"/>
    </row>
    <row r="75" spans="1:2" ht="15.75" customHeight="1" x14ac:dyDescent="0.35">
      <c r="A75" s="1"/>
      <c r="B75" s="2"/>
    </row>
    <row r="76" spans="1:2" ht="15.75" customHeight="1" x14ac:dyDescent="0.35">
      <c r="A76" s="1"/>
      <c r="B76" s="2"/>
    </row>
    <row r="77" spans="1:2" ht="15.75" customHeight="1" x14ac:dyDescent="0.35">
      <c r="A77" s="1"/>
      <c r="B77" s="2"/>
    </row>
    <row r="78" spans="1:2" ht="15.75" customHeight="1" x14ac:dyDescent="0.35">
      <c r="A78" s="1"/>
      <c r="B78" s="2"/>
    </row>
    <row r="79" spans="1:2" ht="15.75" customHeight="1" x14ac:dyDescent="0.35">
      <c r="A79" s="1"/>
      <c r="B79" s="2"/>
    </row>
    <row r="80" spans="1:2" ht="15.75" customHeight="1" x14ac:dyDescent="0.35">
      <c r="A80" s="1"/>
      <c r="B80" s="2"/>
    </row>
    <row r="81" spans="1:2" ht="15.75" customHeight="1" x14ac:dyDescent="0.35">
      <c r="A81" s="1"/>
      <c r="B81" s="2"/>
    </row>
    <row r="82" spans="1:2" ht="15.75" customHeight="1" x14ac:dyDescent="0.35">
      <c r="A82" s="1"/>
      <c r="B82" s="2"/>
    </row>
    <row r="83" spans="1:2" ht="15.75" customHeight="1" x14ac:dyDescent="0.35">
      <c r="A83" s="1"/>
      <c r="B83" s="2"/>
    </row>
    <row r="84" spans="1:2" ht="15.75" customHeight="1" x14ac:dyDescent="0.35">
      <c r="A84" s="1"/>
      <c r="B84" s="2"/>
    </row>
    <row r="85" spans="1:2" ht="15.75" customHeight="1" x14ac:dyDescent="0.35">
      <c r="A85" s="1"/>
      <c r="B85" s="2"/>
    </row>
    <row r="86" spans="1:2" ht="15.75" customHeight="1" x14ac:dyDescent="0.35">
      <c r="A86" s="1"/>
      <c r="B86" s="2"/>
    </row>
    <row r="87" spans="1:2" ht="15.75" customHeight="1" x14ac:dyDescent="0.35">
      <c r="A87" s="1"/>
      <c r="B87" s="2"/>
    </row>
    <row r="88" spans="1:2" ht="15.75" customHeight="1" x14ac:dyDescent="0.35">
      <c r="A88" s="1"/>
      <c r="B88" s="2"/>
    </row>
    <row r="89" spans="1:2" ht="15.75" customHeight="1" x14ac:dyDescent="0.35">
      <c r="A89" s="1"/>
      <c r="B89" s="2"/>
    </row>
    <row r="90" spans="1:2" ht="15.75" customHeight="1" x14ac:dyDescent="0.35">
      <c r="A90" s="1"/>
      <c r="B90" s="2"/>
    </row>
    <row r="91" spans="1:2" ht="15.75" customHeight="1" x14ac:dyDescent="0.35">
      <c r="A91" s="1"/>
      <c r="B91" s="2"/>
    </row>
    <row r="92" spans="1:2" ht="15.75" customHeight="1" x14ac:dyDescent="0.35">
      <c r="A92" s="1"/>
      <c r="B92" s="2"/>
    </row>
    <row r="93" spans="1:2" ht="15.75" customHeight="1" x14ac:dyDescent="0.35">
      <c r="A93" s="1"/>
      <c r="B93" s="2"/>
    </row>
    <row r="94" spans="1:2" ht="15.75" customHeight="1" x14ac:dyDescent="0.35">
      <c r="A94" s="1"/>
      <c r="B94" s="2"/>
    </row>
    <row r="95" spans="1:2" ht="15.75" customHeight="1" x14ac:dyDescent="0.35">
      <c r="A95" s="1"/>
      <c r="B95" s="2"/>
    </row>
    <row r="96" spans="1:2" ht="15.75" customHeight="1" x14ac:dyDescent="0.35">
      <c r="A96" s="1"/>
      <c r="B96" s="2"/>
    </row>
    <row r="97" spans="1:2" ht="15.75" customHeight="1" x14ac:dyDescent="0.35">
      <c r="A97" s="1"/>
      <c r="B97" s="2"/>
    </row>
    <row r="98" spans="1:2" ht="15.75" customHeight="1" x14ac:dyDescent="0.35">
      <c r="A98" s="1"/>
      <c r="B98" s="2"/>
    </row>
    <row r="99" spans="1:2" ht="15.75" customHeight="1" x14ac:dyDescent="0.35">
      <c r="A99" s="1"/>
      <c r="B99" s="2"/>
    </row>
    <row r="100" spans="1:2" ht="15.75" customHeight="1" x14ac:dyDescent="0.35">
      <c r="A100" s="1"/>
      <c r="B100" s="2"/>
    </row>
    <row r="101" spans="1:2" ht="15.75" customHeight="1" x14ac:dyDescent="0.35">
      <c r="A101" s="1"/>
      <c r="B101" s="2"/>
    </row>
    <row r="102" spans="1:2" ht="15.75" customHeight="1" x14ac:dyDescent="0.35">
      <c r="A102" s="1"/>
      <c r="B102" s="2"/>
    </row>
    <row r="103" spans="1:2" ht="15.75" customHeight="1" x14ac:dyDescent="0.35">
      <c r="A103" s="1"/>
      <c r="B103" s="2"/>
    </row>
    <row r="104" spans="1:2" ht="15.75" customHeight="1" x14ac:dyDescent="0.35">
      <c r="A104" s="1"/>
      <c r="B104" s="2"/>
    </row>
    <row r="105" spans="1:2" ht="15.75" customHeight="1" x14ac:dyDescent="0.35">
      <c r="A105" s="1"/>
      <c r="B105" s="2"/>
    </row>
    <row r="106" spans="1:2" ht="15.75" customHeight="1" x14ac:dyDescent="0.35">
      <c r="A106" s="1"/>
      <c r="B106" s="2"/>
    </row>
    <row r="107" spans="1:2" ht="15.75" customHeight="1" x14ac:dyDescent="0.35">
      <c r="A107" s="1"/>
      <c r="B107" s="2"/>
    </row>
    <row r="108" spans="1:2" ht="15.75" customHeight="1" x14ac:dyDescent="0.35">
      <c r="A108" s="1"/>
      <c r="B108" s="2"/>
    </row>
    <row r="109" spans="1:2" ht="15.75" customHeight="1" x14ac:dyDescent="0.35">
      <c r="A109" s="1"/>
      <c r="B109" s="2"/>
    </row>
    <row r="110" spans="1:2" ht="15.75" customHeight="1" x14ac:dyDescent="0.35">
      <c r="A110" s="1"/>
      <c r="B110" s="2"/>
    </row>
    <row r="111" spans="1:2" ht="15.75" customHeight="1" x14ac:dyDescent="0.35">
      <c r="A111" s="1"/>
      <c r="B111" s="2"/>
    </row>
    <row r="112" spans="1:2" ht="15.75" customHeight="1" x14ac:dyDescent="0.35">
      <c r="A112" s="1"/>
      <c r="B112" s="2"/>
    </row>
    <row r="113" spans="1:2" ht="15.75" customHeight="1" x14ac:dyDescent="0.35">
      <c r="A113" s="1"/>
      <c r="B113" s="2"/>
    </row>
    <row r="114" spans="1:2" ht="15.75" customHeight="1" x14ac:dyDescent="0.35">
      <c r="A114" s="1"/>
      <c r="B114" s="2"/>
    </row>
    <row r="115" spans="1:2" ht="15.75" customHeight="1" x14ac:dyDescent="0.35">
      <c r="A115" s="1"/>
      <c r="B115" s="2"/>
    </row>
    <row r="116" spans="1:2" ht="15.75" customHeight="1" x14ac:dyDescent="0.35">
      <c r="A116" s="1"/>
      <c r="B116" s="2"/>
    </row>
    <row r="117" spans="1:2" ht="15.75" customHeight="1" x14ac:dyDescent="0.35">
      <c r="A117" s="1"/>
      <c r="B117" s="2"/>
    </row>
    <row r="118" spans="1:2" ht="15.75" customHeight="1" x14ac:dyDescent="0.35">
      <c r="A118" s="1"/>
      <c r="B118" s="2"/>
    </row>
    <row r="119" spans="1:2" ht="15.75" customHeight="1" x14ac:dyDescent="0.35">
      <c r="A119" s="1"/>
      <c r="B119" s="2"/>
    </row>
    <row r="120" spans="1:2" ht="15.75" customHeight="1" x14ac:dyDescent="0.35">
      <c r="A120" s="1"/>
      <c r="B120" s="2"/>
    </row>
    <row r="121" spans="1:2" ht="15.75" customHeight="1" x14ac:dyDescent="0.35">
      <c r="A121" s="1"/>
      <c r="B121" s="2"/>
    </row>
    <row r="122" spans="1:2" ht="15.75" customHeight="1" x14ac:dyDescent="0.35">
      <c r="A122" s="1"/>
      <c r="B122" s="2"/>
    </row>
    <row r="123" spans="1:2" ht="15.75" customHeight="1" x14ac:dyDescent="0.35">
      <c r="A123" s="1"/>
      <c r="B123" s="2"/>
    </row>
    <row r="124" spans="1:2" ht="15.75" customHeight="1" x14ac:dyDescent="0.35">
      <c r="A124" s="1"/>
      <c r="B124" s="2"/>
    </row>
    <row r="125" spans="1:2" ht="15.75" customHeight="1" x14ac:dyDescent="0.35">
      <c r="A125" s="1"/>
      <c r="B125" s="2"/>
    </row>
    <row r="126" spans="1:2" ht="15.75" customHeight="1" x14ac:dyDescent="0.35">
      <c r="A126" s="1"/>
      <c r="B126" s="2"/>
    </row>
    <row r="127" spans="1:2" ht="15.75" customHeight="1" x14ac:dyDescent="0.35">
      <c r="A127" s="1"/>
      <c r="B127" s="2"/>
    </row>
    <row r="128" spans="1:2" ht="15.75" customHeight="1" x14ac:dyDescent="0.35">
      <c r="A128" s="1"/>
      <c r="B128" s="2"/>
    </row>
    <row r="129" spans="1:2" ht="15.75" customHeight="1" x14ac:dyDescent="0.35">
      <c r="A129" s="1"/>
      <c r="B129" s="2"/>
    </row>
    <row r="130" spans="1:2" ht="15.75" customHeight="1" x14ac:dyDescent="0.35">
      <c r="A130" s="1"/>
      <c r="B130" s="2"/>
    </row>
    <row r="131" spans="1:2" ht="15.75" customHeight="1" x14ac:dyDescent="0.35">
      <c r="A131" s="1"/>
      <c r="B131" s="2"/>
    </row>
    <row r="132" spans="1:2" ht="15.75" customHeight="1" x14ac:dyDescent="0.35">
      <c r="A132" s="1"/>
      <c r="B132" s="2"/>
    </row>
    <row r="133" spans="1:2" ht="15.75" customHeight="1" x14ac:dyDescent="0.35">
      <c r="A133" s="1"/>
      <c r="B133" s="2"/>
    </row>
    <row r="134" spans="1:2" ht="15.75" customHeight="1" x14ac:dyDescent="0.35">
      <c r="A134" s="1"/>
      <c r="B134" s="2"/>
    </row>
    <row r="135" spans="1:2" ht="15.75" customHeight="1" x14ac:dyDescent="0.35">
      <c r="A135" s="1"/>
      <c r="B135" s="2"/>
    </row>
    <row r="136" spans="1:2" ht="15.75" customHeight="1" x14ac:dyDescent="0.35">
      <c r="A136" s="1"/>
      <c r="B136" s="2"/>
    </row>
    <row r="137" spans="1:2" ht="15.75" customHeight="1" x14ac:dyDescent="0.35">
      <c r="A137" s="1"/>
      <c r="B137" s="2"/>
    </row>
    <row r="138" spans="1:2" ht="15.75" customHeight="1" x14ac:dyDescent="0.35">
      <c r="A138" s="1"/>
      <c r="B138" s="2"/>
    </row>
    <row r="139" spans="1:2" ht="15.75" customHeight="1" x14ac:dyDescent="0.35">
      <c r="A139" s="1"/>
      <c r="B139" s="2"/>
    </row>
    <row r="140" spans="1:2" ht="15.75" customHeight="1" x14ac:dyDescent="0.35">
      <c r="A140" s="1"/>
      <c r="B140" s="2"/>
    </row>
    <row r="141" spans="1:2" ht="15.75" customHeight="1" x14ac:dyDescent="0.35">
      <c r="A141" s="1"/>
      <c r="B141" s="2"/>
    </row>
    <row r="142" spans="1:2" ht="15.75" customHeight="1" x14ac:dyDescent="0.35">
      <c r="A142" s="1"/>
      <c r="B142" s="2"/>
    </row>
    <row r="143" spans="1:2" ht="15.75" customHeight="1" x14ac:dyDescent="0.35">
      <c r="A143" s="1"/>
      <c r="B143" s="2"/>
    </row>
    <row r="144" spans="1:2" ht="15.75" customHeight="1" x14ac:dyDescent="0.35">
      <c r="A144" s="1"/>
      <c r="B144" s="2"/>
    </row>
    <row r="145" spans="1:2" ht="15.75" customHeight="1" x14ac:dyDescent="0.35">
      <c r="A145" s="1"/>
      <c r="B145" s="2"/>
    </row>
    <row r="146" spans="1:2" ht="15.75" customHeight="1" x14ac:dyDescent="0.35">
      <c r="A146" s="1"/>
      <c r="B146" s="2"/>
    </row>
    <row r="147" spans="1:2" ht="15.75" customHeight="1" x14ac:dyDescent="0.35">
      <c r="A147" s="1"/>
      <c r="B147" s="2"/>
    </row>
    <row r="148" spans="1:2" ht="15.75" customHeight="1" x14ac:dyDescent="0.35">
      <c r="A148" s="1"/>
      <c r="B148" s="2"/>
    </row>
    <row r="149" spans="1:2" ht="15.75" customHeight="1" x14ac:dyDescent="0.35">
      <c r="A149" s="1"/>
      <c r="B149" s="2"/>
    </row>
    <row r="150" spans="1:2" ht="15.75" customHeight="1" x14ac:dyDescent="0.35">
      <c r="A150" s="1"/>
      <c r="B150" s="2"/>
    </row>
    <row r="151" spans="1:2" ht="15.75" customHeight="1" x14ac:dyDescent="0.35">
      <c r="A151" s="1"/>
      <c r="B151" s="2"/>
    </row>
    <row r="152" spans="1:2" ht="15.75" customHeight="1" x14ac:dyDescent="0.35">
      <c r="A152" s="1"/>
      <c r="B152" s="2"/>
    </row>
    <row r="153" spans="1:2" ht="15.75" customHeight="1" x14ac:dyDescent="0.35">
      <c r="A153" s="1"/>
      <c r="B153" s="2"/>
    </row>
    <row r="154" spans="1:2" ht="15.75" customHeight="1" x14ac:dyDescent="0.35">
      <c r="A154" s="1"/>
      <c r="B154" s="2"/>
    </row>
    <row r="155" spans="1:2" ht="15.75" customHeight="1" x14ac:dyDescent="0.35">
      <c r="A155" s="1"/>
      <c r="B155" s="2"/>
    </row>
    <row r="156" spans="1:2" ht="15.75" customHeight="1" x14ac:dyDescent="0.35">
      <c r="A156" s="1"/>
      <c r="B156" s="2"/>
    </row>
    <row r="157" spans="1:2" ht="15.75" customHeight="1" x14ac:dyDescent="0.35">
      <c r="A157" s="1"/>
      <c r="B157" s="2"/>
    </row>
    <row r="158" spans="1:2" ht="15.75" customHeight="1" x14ac:dyDescent="0.35">
      <c r="A158" s="1"/>
      <c r="B158" s="2"/>
    </row>
    <row r="159" spans="1:2" ht="15.75" customHeight="1" x14ac:dyDescent="0.35">
      <c r="A159" s="1"/>
      <c r="B159" s="2"/>
    </row>
    <row r="160" spans="1:2" ht="15.75" customHeight="1" x14ac:dyDescent="0.35">
      <c r="A160" s="1"/>
      <c r="B160" s="2"/>
    </row>
    <row r="161" spans="1:2" ht="15.75" customHeight="1" x14ac:dyDescent="0.35">
      <c r="A161" s="1"/>
      <c r="B161" s="2"/>
    </row>
    <row r="162" spans="1:2" ht="15.75" customHeight="1" x14ac:dyDescent="0.35">
      <c r="A162" s="1"/>
      <c r="B162" s="2"/>
    </row>
    <row r="163" spans="1:2" ht="15.75" customHeight="1" x14ac:dyDescent="0.35">
      <c r="A163" s="1"/>
      <c r="B163" s="2"/>
    </row>
    <row r="164" spans="1:2" ht="15.75" customHeight="1" x14ac:dyDescent="0.35">
      <c r="A164" s="1"/>
      <c r="B164" s="2"/>
    </row>
    <row r="165" spans="1:2" ht="15.75" customHeight="1" x14ac:dyDescent="0.35">
      <c r="A165" s="1"/>
      <c r="B165" s="2"/>
    </row>
    <row r="166" spans="1:2" ht="15.75" customHeight="1" x14ac:dyDescent="0.35">
      <c r="A166" s="1"/>
      <c r="B166" s="2"/>
    </row>
    <row r="167" spans="1:2" ht="15.75" customHeight="1" x14ac:dyDescent="0.35">
      <c r="A167" s="1"/>
      <c r="B167" s="2"/>
    </row>
    <row r="168" spans="1:2" ht="15.75" customHeight="1" x14ac:dyDescent="0.35">
      <c r="A168" s="1"/>
      <c r="B168" s="2"/>
    </row>
    <row r="169" spans="1:2" ht="15.75" customHeight="1" x14ac:dyDescent="0.35">
      <c r="A169" s="1"/>
      <c r="B169" s="2"/>
    </row>
    <row r="170" spans="1:2" ht="15.75" customHeight="1" x14ac:dyDescent="0.35">
      <c r="A170" s="1"/>
      <c r="B170" s="2"/>
    </row>
    <row r="171" spans="1:2" ht="15.75" customHeight="1" x14ac:dyDescent="0.35">
      <c r="A171" s="1"/>
      <c r="B171" s="2"/>
    </row>
    <row r="172" spans="1:2" ht="15.75" customHeight="1" x14ac:dyDescent="0.35">
      <c r="A172" s="1"/>
      <c r="B172" s="2"/>
    </row>
    <row r="173" spans="1:2" ht="15.75" customHeight="1" x14ac:dyDescent="0.35">
      <c r="A173" s="1"/>
      <c r="B173" s="2"/>
    </row>
    <row r="174" spans="1:2" ht="15.75" customHeight="1" x14ac:dyDescent="0.35">
      <c r="A174" s="1"/>
      <c r="B174" s="2"/>
    </row>
    <row r="175" spans="1:2" ht="15.75" customHeight="1" x14ac:dyDescent="0.35">
      <c r="A175" s="1"/>
      <c r="B175" s="2"/>
    </row>
    <row r="176" spans="1:2" ht="15.75" customHeight="1" x14ac:dyDescent="0.35">
      <c r="A176" s="1"/>
      <c r="B176" s="2"/>
    </row>
    <row r="177" spans="1:2" ht="15.75" customHeight="1" x14ac:dyDescent="0.35">
      <c r="A177" s="1"/>
      <c r="B177" s="2"/>
    </row>
    <row r="178" spans="1:2" ht="15.75" customHeight="1" x14ac:dyDescent="0.35">
      <c r="A178" s="1"/>
      <c r="B178" s="2"/>
    </row>
    <row r="179" spans="1:2" ht="15.75" customHeight="1" x14ac:dyDescent="0.35">
      <c r="A179" s="1"/>
      <c r="B179" s="2"/>
    </row>
    <row r="180" spans="1:2" ht="15.75" customHeight="1" x14ac:dyDescent="0.35">
      <c r="A180" s="1"/>
      <c r="B180" s="2"/>
    </row>
    <row r="181" spans="1:2" ht="15.75" customHeight="1" x14ac:dyDescent="0.35">
      <c r="A181" s="1"/>
      <c r="B181" s="2"/>
    </row>
    <row r="182" spans="1:2" ht="15.75" customHeight="1" x14ac:dyDescent="0.35">
      <c r="A182" s="1"/>
      <c r="B182" s="2"/>
    </row>
    <row r="183" spans="1:2" ht="15.75" customHeight="1" x14ac:dyDescent="0.35">
      <c r="A183" s="1"/>
      <c r="B183" s="2"/>
    </row>
    <row r="184" spans="1:2" ht="15.75" customHeight="1" x14ac:dyDescent="0.35">
      <c r="A184" s="1"/>
      <c r="B184" s="2"/>
    </row>
    <row r="185" spans="1:2" ht="15.75" customHeight="1" x14ac:dyDescent="0.35">
      <c r="A185" s="1"/>
      <c r="B185" s="2"/>
    </row>
    <row r="186" spans="1:2" ht="15.75" customHeight="1" x14ac:dyDescent="0.35">
      <c r="A186" s="1"/>
      <c r="B186" s="2"/>
    </row>
    <row r="187" spans="1:2" ht="15.75" customHeight="1" x14ac:dyDescent="0.35">
      <c r="A187" s="1"/>
      <c r="B187" s="2"/>
    </row>
    <row r="188" spans="1:2" ht="15.75" customHeight="1" x14ac:dyDescent="0.35">
      <c r="A188" s="1"/>
      <c r="B188" s="2"/>
    </row>
    <row r="189" spans="1:2" ht="15.75" customHeight="1" x14ac:dyDescent="0.35">
      <c r="A189" s="1"/>
      <c r="B189" s="2"/>
    </row>
    <row r="190" spans="1:2" ht="15.75" customHeight="1" x14ac:dyDescent="0.35">
      <c r="A190" s="1"/>
      <c r="B190" s="2"/>
    </row>
    <row r="191" spans="1:2" ht="15.75" customHeight="1" x14ac:dyDescent="0.35">
      <c r="A191" s="1"/>
      <c r="B191" s="2"/>
    </row>
    <row r="192" spans="1:2" ht="15.75" customHeight="1" x14ac:dyDescent="0.35">
      <c r="A192" s="1"/>
      <c r="B192" s="2"/>
    </row>
    <row r="193" spans="1:2" ht="15.75" customHeight="1" x14ac:dyDescent="0.35">
      <c r="A193" s="1"/>
      <c r="B193" s="2"/>
    </row>
    <row r="194" spans="1:2" ht="15.75" customHeight="1" x14ac:dyDescent="0.35">
      <c r="A194" s="1"/>
      <c r="B194" s="2"/>
    </row>
    <row r="195" spans="1:2" ht="15.75" customHeight="1" x14ac:dyDescent="0.35">
      <c r="A195" s="1"/>
      <c r="B195" s="2"/>
    </row>
    <row r="196" spans="1:2" ht="15.75" customHeight="1" x14ac:dyDescent="0.35">
      <c r="A196" s="1"/>
      <c r="B196" s="2"/>
    </row>
    <row r="197" spans="1:2" ht="15.75" customHeight="1" x14ac:dyDescent="0.35">
      <c r="A197" s="1"/>
      <c r="B197" s="2"/>
    </row>
    <row r="198" spans="1:2" ht="15.75" customHeight="1" x14ac:dyDescent="0.35">
      <c r="A198" s="1"/>
      <c r="B198" s="2"/>
    </row>
    <row r="199" spans="1:2" ht="15.75" customHeight="1" x14ac:dyDescent="0.35">
      <c r="A199" s="1"/>
      <c r="B199" s="2"/>
    </row>
    <row r="200" spans="1:2" ht="15.75" customHeight="1" x14ac:dyDescent="0.35">
      <c r="A200" s="1"/>
      <c r="B200" s="2"/>
    </row>
    <row r="201" spans="1:2" ht="15.75" customHeight="1" x14ac:dyDescent="0.35">
      <c r="A201" s="1"/>
      <c r="B201" s="2"/>
    </row>
    <row r="202" spans="1:2" ht="15.75" customHeight="1" x14ac:dyDescent="0.35">
      <c r="A202" s="1"/>
      <c r="B202" s="2"/>
    </row>
    <row r="203" spans="1:2" ht="15.75" customHeight="1" x14ac:dyDescent="0.35">
      <c r="A203" s="1"/>
      <c r="B203" s="2"/>
    </row>
    <row r="204" spans="1:2" ht="15.75" customHeight="1" x14ac:dyDescent="0.35">
      <c r="A204" s="1"/>
      <c r="B204" s="2"/>
    </row>
    <row r="205" spans="1:2" ht="15.75" customHeight="1" x14ac:dyDescent="0.35">
      <c r="A205" s="1"/>
      <c r="B205" s="2"/>
    </row>
    <row r="206" spans="1:2" ht="15.75" customHeight="1" x14ac:dyDescent="0.35">
      <c r="A206" s="1"/>
      <c r="B206" s="2"/>
    </row>
    <row r="207" spans="1:2" ht="15.75" customHeight="1" x14ac:dyDescent="0.35">
      <c r="A207" s="1"/>
      <c r="B207" s="2"/>
    </row>
    <row r="208" spans="1:2" ht="15.75" customHeight="1" x14ac:dyDescent="0.35">
      <c r="A208" s="1"/>
      <c r="B208" s="2"/>
    </row>
    <row r="209" spans="1:2" ht="15.75" customHeight="1" x14ac:dyDescent="0.35">
      <c r="A209" s="1"/>
      <c r="B209" s="2"/>
    </row>
    <row r="210" spans="1:2" ht="15.75" customHeight="1" x14ac:dyDescent="0.35">
      <c r="A210" s="1"/>
      <c r="B210" s="2"/>
    </row>
    <row r="211" spans="1:2" ht="15.75" customHeight="1" x14ac:dyDescent="0.35">
      <c r="A211" s="1"/>
      <c r="B211" s="2"/>
    </row>
    <row r="212" spans="1:2" ht="15.75" customHeight="1" x14ac:dyDescent="0.35">
      <c r="A212" s="1"/>
      <c r="B212" s="2"/>
    </row>
    <row r="213" spans="1:2" ht="15.75" customHeight="1" x14ac:dyDescent="0.35">
      <c r="A213" s="1"/>
      <c r="B213" s="2"/>
    </row>
    <row r="214" spans="1:2" ht="15.75" customHeight="1" x14ac:dyDescent="0.35">
      <c r="A214" s="1"/>
      <c r="B214" s="2"/>
    </row>
    <row r="215" spans="1:2" ht="15.75" customHeight="1" x14ac:dyDescent="0.35">
      <c r="A215" s="1"/>
      <c r="B215" s="2"/>
    </row>
    <row r="216" spans="1:2" ht="15.75" customHeight="1" x14ac:dyDescent="0.35">
      <c r="A216" s="1"/>
      <c r="B216" s="2"/>
    </row>
    <row r="217" spans="1:2" ht="15.75" customHeight="1" x14ac:dyDescent="0.35">
      <c r="A217" s="1"/>
      <c r="B217" s="2"/>
    </row>
    <row r="218" spans="1:2" ht="15.75" customHeight="1" x14ac:dyDescent="0.35">
      <c r="A218" s="1"/>
      <c r="B218" s="2"/>
    </row>
    <row r="219" spans="1:2" ht="15.75" customHeight="1" x14ac:dyDescent="0.35">
      <c r="A219" s="1"/>
      <c r="B219" s="2"/>
    </row>
    <row r="220" spans="1:2" ht="15.75" customHeight="1" x14ac:dyDescent="0.35">
      <c r="A220" s="1"/>
      <c r="B220" s="2"/>
    </row>
    <row r="221" spans="1:2" ht="15.75" customHeight="1" x14ac:dyDescent="0.35">
      <c r="A221" s="1"/>
      <c r="B221" s="2"/>
    </row>
    <row r="222" spans="1:2" ht="15.75" customHeight="1" x14ac:dyDescent="0.35">
      <c r="A222" s="1"/>
      <c r="B222" s="2"/>
    </row>
    <row r="223" spans="1:2" ht="15.75" customHeight="1" x14ac:dyDescent="0.35">
      <c r="A223" s="1"/>
      <c r="B223" s="2"/>
    </row>
    <row r="224" spans="1:2" ht="15.75" customHeight="1" x14ac:dyDescent="0.35">
      <c r="A224" s="1"/>
      <c r="B224" s="2"/>
    </row>
    <row r="225" spans="1:2" ht="15.75" customHeight="1" x14ac:dyDescent="0.35">
      <c r="A225" s="1"/>
      <c r="B225" s="2"/>
    </row>
    <row r="226" spans="1:2" ht="15.75" customHeight="1" x14ac:dyDescent="0.35">
      <c r="A226" s="1"/>
      <c r="B226" s="2"/>
    </row>
    <row r="227" spans="1:2" ht="15.75" customHeight="1" x14ac:dyDescent="0.35">
      <c r="A227" s="1"/>
      <c r="B227" s="2"/>
    </row>
    <row r="228" spans="1:2" ht="15.75" customHeight="1" x14ac:dyDescent="0.35">
      <c r="A228" s="1"/>
      <c r="B228" s="2"/>
    </row>
    <row r="229" spans="1:2" ht="15.75" customHeight="1" x14ac:dyDescent="0.35">
      <c r="A229" s="1"/>
      <c r="B229" s="2"/>
    </row>
    <row r="230" spans="1:2" ht="15.75" customHeight="1" x14ac:dyDescent="0.35">
      <c r="A230" s="1"/>
      <c r="B230" s="2"/>
    </row>
    <row r="231" spans="1:2" ht="15.75" customHeight="1" x14ac:dyDescent="0.35">
      <c r="A231" s="1"/>
      <c r="B231" s="2"/>
    </row>
    <row r="232" spans="1:2" ht="15.75" customHeight="1" x14ac:dyDescent="0.35">
      <c r="A232" s="1"/>
      <c r="B232" s="2"/>
    </row>
    <row r="233" spans="1:2" ht="15.75" customHeight="1" x14ac:dyDescent="0.35">
      <c r="A233" s="1"/>
      <c r="B233" s="2"/>
    </row>
    <row r="234" spans="1:2" ht="15.75" customHeight="1" x14ac:dyDescent="0.35">
      <c r="A234" s="1"/>
      <c r="B234" s="2"/>
    </row>
    <row r="235" spans="1:2" ht="15.75" customHeight="1" x14ac:dyDescent="0.35">
      <c r="A235" s="1"/>
      <c r="B235" s="2"/>
    </row>
    <row r="236" spans="1:2" ht="15.75" customHeight="1" x14ac:dyDescent="0.35">
      <c r="A236" s="1"/>
      <c r="B236" s="2"/>
    </row>
    <row r="237" spans="1:2" ht="15.75" customHeight="1" x14ac:dyDescent="0.35">
      <c r="A237" s="1"/>
      <c r="B237" s="2"/>
    </row>
    <row r="238" spans="1:2" ht="15.75" customHeight="1" x14ac:dyDescent="0.35">
      <c r="A238" s="1"/>
      <c r="B238" s="2"/>
    </row>
    <row r="239" spans="1:2" ht="15.75" customHeight="1" x14ac:dyDescent="0.35">
      <c r="A239" s="1"/>
      <c r="B239" s="2"/>
    </row>
    <row r="240" spans="1:2" ht="15.75" customHeight="1" x14ac:dyDescent="0.35">
      <c r="A240" s="1"/>
      <c r="B240" s="2"/>
    </row>
    <row r="241" spans="1:2" ht="15.75" customHeight="1" x14ac:dyDescent="0.35">
      <c r="A241" s="1"/>
      <c r="B241" s="2"/>
    </row>
    <row r="242" spans="1:2" ht="15.75" customHeight="1" x14ac:dyDescent="0.35">
      <c r="A242" s="1"/>
      <c r="B242" s="2"/>
    </row>
    <row r="243" spans="1:2" ht="15.75" customHeight="1" x14ac:dyDescent="0.35">
      <c r="A243" s="1"/>
      <c r="B243" s="2"/>
    </row>
    <row r="244" spans="1:2" ht="15.75" customHeight="1" x14ac:dyDescent="0.35">
      <c r="A244" s="1"/>
      <c r="B244" s="2"/>
    </row>
    <row r="245" spans="1:2" ht="15.75" customHeight="1" x14ac:dyDescent="0.35">
      <c r="A245" s="1"/>
      <c r="B245" s="2"/>
    </row>
    <row r="246" spans="1:2" ht="15.75" customHeight="1" x14ac:dyDescent="0.35">
      <c r="A246" s="1"/>
      <c r="B246" s="2"/>
    </row>
    <row r="247" spans="1:2" ht="15.75" customHeight="1" x14ac:dyDescent="0.35">
      <c r="A247" s="1"/>
      <c r="B247" s="2"/>
    </row>
    <row r="248" spans="1:2" ht="15.75" customHeight="1" x14ac:dyDescent="0.35">
      <c r="A248" s="1"/>
      <c r="B248" s="2"/>
    </row>
    <row r="249" spans="1:2" ht="15.75" customHeight="1" x14ac:dyDescent="0.35">
      <c r="A249" s="1"/>
      <c r="B249" s="2"/>
    </row>
    <row r="250" spans="1:2" ht="15.75" customHeight="1" x14ac:dyDescent="0.35">
      <c r="A250" s="1"/>
      <c r="B250" s="2"/>
    </row>
    <row r="251" spans="1:2" ht="15.75" customHeight="1" x14ac:dyDescent="0.35">
      <c r="A251" s="1"/>
      <c r="B251" s="2"/>
    </row>
    <row r="252" spans="1:2" ht="15.75" customHeight="1" x14ac:dyDescent="0.35">
      <c r="A252" s="1"/>
      <c r="B252" s="2"/>
    </row>
    <row r="253" spans="1:2" ht="15.75" customHeight="1" x14ac:dyDescent="0.35">
      <c r="A253" s="1"/>
      <c r="B253" s="2"/>
    </row>
    <row r="254" spans="1:2" ht="15.75" customHeight="1" x14ac:dyDescent="0.35">
      <c r="A254" s="1"/>
      <c r="B254" s="2"/>
    </row>
    <row r="255" spans="1:2" ht="15.75" customHeight="1" x14ac:dyDescent="0.35">
      <c r="A255" s="1"/>
      <c r="B255" s="2"/>
    </row>
    <row r="256" spans="1:2" ht="15.75" customHeight="1" x14ac:dyDescent="0.35">
      <c r="A256" s="1"/>
      <c r="B256" s="2"/>
    </row>
    <row r="257" spans="1:2" ht="15.75" customHeight="1" x14ac:dyDescent="0.35">
      <c r="A257" s="1"/>
      <c r="B257" s="2"/>
    </row>
    <row r="258" spans="1:2" ht="15.75" customHeight="1" x14ac:dyDescent="0.35">
      <c r="A258" s="1"/>
      <c r="B258" s="2"/>
    </row>
    <row r="259" spans="1:2" ht="15.75" customHeight="1" x14ac:dyDescent="0.35">
      <c r="A259" s="1"/>
      <c r="B259" s="2"/>
    </row>
    <row r="260" spans="1:2" ht="15.75" customHeight="1" x14ac:dyDescent="0.35">
      <c r="A260" s="1"/>
      <c r="B260" s="2"/>
    </row>
    <row r="261" spans="1:2" ht="15.75" customHeight="1" x14ac:dyDescent="0.35">
      <c r="A261" s="1"/>
      <c r="B261" s="2"/>
    </row>
    <row r="262" spans="1:2" ht="15.75" customHeight="1" x14ac:dyDescent="0.35">
      <c r="A262" s="1"/>
      <c r="B262" s="2"/>
    </row>
    <row r="263" spans="1:2" ht="15.75" customHeight="1" x14ac:dyDescent="0.35">
      <c r="A263" s="1"/>
      <c r="B263" s="2"/>
    </row>
    <row r="264" spans="1:2" ht="15.75" customHeight="1" x14ac:dyDescent="0.35">
      <c r="A264" s="1"/>
      <c r="B264" s="2"/>
    </row>
    <row r="265" spans="1:2" ht="15.75" customHeight="1" x14ac:dyDescent="0.35">
      <c r="A265" s="1"/>
      <c r="B265" s="2"/>
    </row>
    <row r="266" spans="1:2" ht="15.75" customHeight="1" x14ac:dyDescent="0.35">
      <c r="A266" s="1"/>
      <c r="B266" s="2"/>
    </row>
    <row r="267" spans="1:2" ht="15.75" customHeight="1" x14ac:dyDescent="0.35">
      <c r="A267" s="1"/>
      <c r="B267" s="2"/>
    </row>
    <row r="268" spans="1:2" ht="15.75" customHeight="1" x14ac:dyDescent="0.35">
      <c r="A268" s="1"/>
      <c r="B268" s="2"/>
    </row>
    <row r="269" spans="1:2" ht="15.75" customHeight="1" x14ac:dyDescent="0.35">
      <c r="A269" s="1"/>
      <c r="B269" s="2"/>
    </row>
    <row r="270" spans="1:2" ht="15.75" customHeight="1" x14ac:dyDescent="0.35">
      <c r="A270" s="1"/>
      <c r="B270" s="2"/>
    </row>
    <row r="271" spans="1:2" ht="15.75" customHeight="1" x14ac:dyDescent="0.35">
      <c r="A271" s="1"/>
      <c r="B271" s="2"/>
    </row>
    <row r="272" spans="1:2" ht="15.75" customHeight="1" x14ac:dyDescent="0.35">
      <c r="A272" s="1"/>
      <c r="B272" s="2"/>
    </row>
    <row r="273" spans="1:2" ht="15.75" customHeight="1" x14ac:dyDescent="0.35">
      <c r="A273" s="1"/>
      <c r="B273" s="2"/>
    </row>
    <row r="274" spans="1:2" ht="15.75" customHeight="1" x14ac:dyDescent="0.35">
      <c r="A274" s="1"/>
      <c r="B274" s="2"/>
    </row>
    <row r="275" spans="1:2" ht="15.75" customHeight="1" x14ac:dyDescent="0.35">
      <c r="A275" s="1"/>
      <c r="B275" s="2"/>
    </row>
    <row r="276" spans="1:2" ht="15.75" customHeight="1" x14ac:dyDescent="0.35">
      <c r="A276" s="1"/>
      <c r="B276" s="2"/>
    </row>
    <row r="277" spans="1:2" ht="15.75" customHeight="1" x14ac:dyDescent="0.35">
      <c r="A277" s="1"/>
      <c r="B277" s="2"/>
    </row>
    <row r="278" spans="1:2" ht="15.75" customHeight="1" x14ac:dyDescent="0.35">
      <c r="A278" s="1"/>
      <c r="B278" s="2"/>
    </row>
    <row r="279" spans="1:2" ht="15.75" customHeight="1" x14ac:dyDescent="0.35">
      <c r="A279" s="1"/>
      <c r="B279" s="2"/>
    </row>
    <row r="280" spans="1:2" ht="15.75" customHeight="1" x14ac:dyDescent="0.35">
      <c r="A280" s="1"/>
      <c r="B280" s="2"/>
    </row>
    <row r="281" spans="1:2" ht="15.75" customHeight="1" x14ac:dyDescent="0.35">
      <c r="A281" s="1"/>
      <c r="B281" s="2"/>
    </row>
    <row r="282" spans="1:2" ht="15.75" customHeight="1" x14ac:dyDescent="0.35">
      <c r="A282" s="1"/>
      <c r="B282" s="2"/>
    </row>
    <row r="283" spans="1:2" ht="15.75" customHeight="1" x14ac:dyDescent="0.35">
      <c r="A283" s="1"/>
      <c r="B283" s="2"/>
    </row>
    <row r="284" spans="1:2" ht="15.75" customHeight="1" x14ac:dyDescent="0.35">
      <c r="A284" s="1"/>
      <c r="B284" s="2"/>
    </row>
    <row r="285" spans="1:2" ht="15.75" customHeight="1" x14ac:dyDescent="0.35">
      <c r="A285" s="1"/>
      <c r="B285" s="2"/>
    </row>
    <row r="286" spans="1:2" ht="15.75" customHeight="1" x14ac:dyDescent="0.35">
      <c r="A286" s="1"/>
      <c r="B286" s="2"/>
    </row>
    <row r="287" spans="1:2" ht="15.75" customHeight="1" x14ac:dyDescent="0.35">
      <c r="A287" s="1"/>
      <c r="B287" s="2"/>
    </row>
    <row r="288" spans="1:2" ht="15.75" customHeight="1" x14ac:dyDescent="0.35">
      <c r="A288" s="1"/>
      <c r="B288" s="2"/>
    </row>
    <row r="289" spans="1:2" ht="15.75" customHeight="1" x14ac:dyDescent="0.35">
      <c r="A289" s="1"/>
      <c r="B289" s="2"/>
    </row>
    <row r="290" spans="1:2" ht="15.75" customHeight="1" x14ac:dyDescent="0.35">
      <c r="A290" s="1"/>
      <c r="B290" s="2"/>
    </row>
    <row r="291" spans="1:2" ht="15.75" customHeight="1" x14ac:dyDescent="0.35">
      <c r="A291" s="1"/>
      <c r="B291" s="2"/>
    </row>
    <row r="292" spans="1:2" ht="15.75" customHeight="1" x14ac:dyDescent="0.35">
      <c r="A292" s="1"/>
      <c r="B292" s="2"/>
    </row>
    <row r="293" spans="1:2" ht="15.75" customHeight="1" x14ac:dyDescent="0.35">
      <c r="A293" s="1"/>
      <c r="B293" s="2"/>
    </row>
    <row r="294" spans="1:2" ht="15.75" customHeight="1" x14ac:dyDescent="0.35">
      <c r="A294" s="1"/>
      <c r="B294" s="2"/>
    </row>
    <row r="295" spans="1:2" ht="15.75" customHeight="1" x14ac:dyDescent="0.35">
      <c r="A295" s="1"/>
      <c r="B295" s="2"/>
    </row>
    <row r="296" spans="1:2" ht="15.75" customHeight="1" x14ac:dyDescent="0.35">
      <c r="A296" s="1"/>
      <c r="B296" s="2"/>
    </row>
    <row r="297" spans="1:2" ht="15.75" customHeight="1" x14ac:dyDescent="0.35">
      <c r="A297" s="1"/>
      <c r="B297" s="2"/>
    </row>
    <row r="298" spans="1:2" ht="15.75" customHeight="1" x14ac:dyDescent="0.35">
      <c r="A298" s="1"/>
      <c r="B298" s="2"/>
    </row>
    <row r="299" spans="1:2" ht="15.75" customHeight="1" x14ac:dyDescent="0.35">
      <c r="A299" s="1"/>
      <c r="B299" s="2"/>
    </row>
    <row r="300" spans="1:2" ht="15.75" customHeight="1" x14ac:dyDescent="0.35">
      <c r="A300" s="1"/>
      <c r="B300" s="2"/>
    </row>
    <row r="301" spans="1:2" ht="15.75" customHeight="1" x14ac:dyDescent="0.35">
      <c r="A301" s="1"/>
      <c r="B301" s="2"/>
    </row>
    <row r="302" spans="1:2" ht="15.75" customHeight="1" x14ac:dyDescent="0.35">
      <c r="A302" s="1"/>
      <c r="B302" s="2"/>
    </row>
    <row r="303" spans="1:2" ht="15.75" customHeight="1" x14ac:dyDescent="0.35">
      <c r="A303" s="1"/>
      <c r="B303" s="2"/>
    </row>
    <row r="304" spans="1:2" ht="15.75" customHeight="1" x14ac:dyDescent="0.35">
      <c r="A304" s="1"/>
      <c r="B304" s="2"/>
    </row>
    <row r="305" spans="1:2" ht="15.75" customHeight="1" x14ac:dyDescent="0.35">
      <c r="A305" s="1"/>
      <c r="B305" s="2"/>
    </row>
    <row r="306" spans="1:2" ht="15.75" customHeight="1" x14ac:dyDescent="0.35">
      <c r="A306" s="1"/>
      <c r="B306" s="2"/>
    </row>
    <row r="307" spans="1:2" ht="15.75" customHeight="1" x14ac:dyDescent="0.35">
      <c r="A307" s="1"/>
      <c r="B307" s="2"/>
    </row>
    <row r="308" spans="1:2" ht="15.75" customHeight="1" x14ac:dyDescent="0.35">
      <c r="A308" s="1"/>
      <c r="B308" s="2"/>
    </row>
    <row r="309" spans="1:2" ht="15.75" customHeight="1" x14ac:dyDescent="0.35">
      <c r="A309" s="1"/>
      <c r="B309" s="2"/>
    </row>
    <row r="310" spans="1:2" ht="15.75" customHeight="1" x14ac:dyDescent="0.35">
      <c r="A310" s="1"/>
      <c r="B310" s="2"/>
    </row>
    <row r="311" spans="1:2" ht="15.75" customHeight="1" x14ac:dyDescent="0.35">
      <c r="A311" s="1"/>
      <c r="B311" s="2"/>
    </row>
    <row r="312" spans="1:2" ht="15.75" customHeight="1" x14ac:dyDescent="0.35">
      <c r="A312" s="1"/>
      <c r="B312" s="2"/>
    </row>
    <row r="313" spans="1:2" ht="15.75" customHeight="1" x14ac:dyDescent="0.35">
      <c r="A313" s="1"/>
      <c r="B313" s="2"/>
    </row>
    <row r="314" spans="1:2" ht="15.75" customHeight="1" x14ac:dyDescent="0.35">
      <c r="A314" s="1"/>
      <c r="B314" s="2"/>
    </row>
    <row r="315" spans="1:2" ht="15.75" customHeight="1" x14ac:dyDescent="0.35">
      <c r="A315" s="1"/>
      <c r="B315" s="2"/>
    </row>
    <row r="316" spans="1:2" ht="15.75" customHeight="1" x14ac:dyDescent="0.35">
      <c r="A316" s="1"/>
      <c r="B316" s="2"/>
    </row>
    <row r="317" spans="1:2" ht="15.75" customHeight="1" x14ac:dyDescent="0.35">
      <c r="A317" s="1"/>
      <c r="B317" s="2"/>
    </row>
    <row r="318" spans="1:2" ht="15.75" customHeight="1" x14ac:dyDescent="0.35">
      <c r="A318" s="1"/>
      <c r="B318" s="2"/>
    </row>
    <row r="319" spans="1:2" ht="15.75" customHeight="1" x14ac:dyDescent="0.35">
      <c r="A319" s="1"/>
      <c r="B319" s="2"/>
    </row>
    <row r="320" spans="1:2" ht="15.75" customHeight="1" x14ac:dyDescent="0.35">
      <c r="A320" s="1"/>
      <c r="B320" s="2"/>
    </row>
    <row r="321" spans="1:2" ht="15.75" customHeight="1" x14ac:dyDescent="0.35">
      <c r="A321" s="1"/>
      <c r="B321" s="2"/>
    </row>
    <row r="322" spans="1:2" ht="15.75" customHeight="1" x14ac:dyDescent="0.35">
      <c r="A322" s="1"/>
      <c r="B322" s="2"/>
    </row>
    <row r="323" spans="1:2" ht="15.75" customHeight="1" x14ac:dyDescent="0.35">
      <c r="A323" s="1"/>
      <c r="B323" s="2"/>
    </row>
    <row r="324" spans="1:2" ht="15.75" customHeight="1" x14ac:dyDescent="0.35">
      <c r="A324" s="1"/>
      <c r="B324" s="2"/>
    </row>
    <row r="325" spans="1:2" ht="15.75" customHeight="1" x14ac:dyDescent="0.35">
      <c r="A325" s="1"/>
      <c r="B325" s="2"/>
    </row>
    <row r="326" spans="1:2" ht="15.75" customHeight="1" x14ac:dyDescent="0.35">
      <c r="A326" s="1"/>
      <c r="B326" s="2"/>
    </row>
    <row r="327" spans="1:2" ht="15.75" customHeight="1" x14ac:dyDescent="0.35">
      <c r="A327" s="1"/>
      <c r="B327" s="2"/>
    </row>
    <row r="328" spans="1:2" ht="15.75" customHeight="1" x14ac:dyDescent="0.35">
      <c r="A328" s="1"/>
      <c r="B328" s="2"/>
    </row>
    <row r="329" spans="1:2" ht="15.75" customHeight="1" x14ac:dyDescent="0.35">
      <c r="A329" s="1"/>
      <c r="B329" s="2"/>
    </row>
    <row r="330" spans="1:2" ht="15.75" customHeight="1" x14ac:dyDescent="0.35">
      <c r="A330" s="1"/>
      <c r="B330" s="2"/>
    </row>
    <row r="331" spans="1:2" ht="15.75" customHeight="1" x14ac:dyDescent="0.35">
      <c r="A331" s="1"/>
      <c r="B331" s="2"/>
    </row>
    <row r="332" spans="1:2" ht="15.75" customHeight="1" x14ac:dyDescent="0.35">
      <c r="A332" s="1"/>
      <c r="B332" s="2"/>
    </row>
    <row r="333" spans="1:2" ht="15.75" customHeight="1" x14ac:dyDescent="0.35">
      <c r="A333" s="1"/>
      <c r="B333" s="2"/>
    </row>
    <row r="334" spans="1:2" ht="15.75" customHeight="1" x14ac:dyDescent="0.35">
      <c r="A334" s="1"/>
      <c r="B334" s="2"/>
    </row>
    <row r="335" spans="1:2" ht="15.75" customHeight="1" x14ac:dyDescent="0.35">
      <c r="A335" s="1"/>
      <c r="B335" s="2"/>
    </row>
    <row r="336" spans="1:2" ht="15.75" customHeight="1" x14ac:dyDescent="0.35">
      <c r="A336" s="1"/>
      <c r="B336" s="2"/>
    </row>
    <row r="337" spans="1:2" ht="15.75" customHeight="1" x14ac:dyDescent="0.35">
      <c r="A337" s="1"/>
      <c r="B337" s="2"/>
    </row>
    <row r="338" spans="1:2" ht="15.75" customHeight="1" x14ac:dyDescent="0.35">
      <c r="A338" s="1"/>
      <c r="B338" s="2"/>
    </row>
    <row r="339" spans="1:2" ht="15.75" customHeight="1" x14ac:dyDescent="0.35">
      <c r="A339" s="1"/>
      <c r="B339" s="2"/>
    </row>
    <row r="340" spans="1:2" ht="15.75" customHeight="1" x14ac:dyDescent="0.35">
      <c r="A340" s="1"/>
      <c r="B340" s="2"/>
    </row>
    <row r="341" spans="1:2" ht="15.75" customHeight="1" x14ac:dyDescent="0.35">
      <c r="A341" s="1"/>
      <c r="B341" s="2"/>
    </row>
    <row r="342" spans="1:2" ht="15.75" customHeight="1" x14ac:dyDescent="0.35">
      <c r="A342" s="1"/>
      <c r="B342" s="2"/>
    </row>
    <row r="343" spans="1:2" ht="15.75" customHeight="1" x14ac:dyDescent="0.35">
      <c r="A343" s="1"/>
      <c r="B343" s="2"/>
    </row>
    <row r="344" spans="1:2" ht="15.75" customHeight="1" x14ac:dyDescent="0.35">
      <c r="A344" s="1"/>
      <c r="B344" s="2"/>
    </row>
    <row r="345" spans="1:2" ht="15.75" customHeight="1" x14ac:dyDescent="0.35">
      <c r="A345" s="1"/>
      <c r="B345" s="2"/>
    </row>
    <row r="346" spans="1:2" ht="15.75" customHeight="1" x14ac:dyDescent="0.35">
      <c r="A346" s="1"/>
      <c r="B346" s="2"/>
    </row>
    <row r="347" spans="1:2" ht="15.75" customHeight="1" x14ac:dyDescent="0.35">
      <c r="A347" s="1"/>
      <c r="B347" s="2"/>
    </row>
    <row r="348" spans="1:2" ht="15.75" customHeight="1" x14ac:dyDescent="0.35">
      <c r="A348" s="1"/>
      <c r="B348" s="2"/>
    </row>
    <row r="349" spans="1:2" ht="15.75" customHeight="1" x14ac:dyDescent="0.35">
      <c r="A349" s="1"/>
      <c r="B349" s="2"/>
    </row>
    <row r="350" spans="1:2" ht="15.75" customHeight="1" x14ac:dyDescent="0.35">
      <c r="A350" s="1"/>
      <c r="B350" s="2"/>
    </row>
    <row r="351" spans="1:2" ht="15.75" customHeight="1" x14ac:dyDescent="0.35">
      <c r="A351" s="1"/>
      <c r="B351" s="2"/>
    </row>
    <row r="352" spans="1:2" ht="15.75" customHeight="1" x14ac:dyDescent="0.35">
      <c r="A352" s="1"/>
      <c r="B352" s="2"/>
    </row>
    <row r="353" spans="1:2" ht="15.75" customHeight="1" x14ac:dyDescent="0.35">
      <c r="A353" s="1"/>
      <c r="B353" s="2"/>
    </row>
    <row r="354" spans="1:2" ht="15.75" customHeight="1" x14ac:dyDescent="0.35">
      <c r="A354" s="1"/>
      <c r="B354" s="2"/>
    </row>
    <row r="355" spans="1:2" ht="15.75" customHeight="1" x14ac:dyDescent="0.35">
      <c r="A355" s="1"/>
      <c r="B355" s="2"/>
    </row>
    <row r="356" spans="1:2" ht="15.75" customHeight="1" x14ac:dyDescent="0.35">
      <c r="A356" s="1"/>
      <c r="B356" s="2"/>
    </row>
    <row r="357" spans="1:2" ht="15.75" customHeight="1" x14ac:dyDescent="0.35">
      <c r="A357" s="1"/>
      <c r="B357" s="2"/>
    </row>
    <row r="358" spans="1:2" ht="15.75" customHeight="1" x14ac:dyDescent="0.35">
      <c r="A358" s="1"/>
      <c r="B358" s="2"/>
    </row>
    <row r="359" spans="1:2" ht="15.75" customHeight="1" x14ac:dyDescent="0.35">
      <c r="A359" s="1"/>
      <c r="B359" s="2"/>
    </row>
    <row r="360" spans="1:2" ht="15.75" customHeight="1" x14ac:dyDescent="0.35">
      <c r="A360" s="1"/>
      <c r="B360" s="2"/>
    </row>
    <row r="361" spans="1:2" ht="15.75" customHeight="1" x14ac:dyDescent="0.35">
      <c r="A361" s="1"/>
      <c r="B361" s="2"/>
    </row>
    <row r="362" spans="1:2" ht="15.75" customHeight="1" x14ac:dyDescent="0.35">
      <c r="A362" s="1"/>
      <c r="B362" s="2"/>
    </row>
    <row r="363" spans="1:2" ht="15.75" customHeight="1" x14ac:dyDescent="0.35">
      <c r="A363" s="1"/>
      <c r="B363" s="2"/>
    </row>
    <row r="364" spans="1:2" ht="15.75" customHeight="1" x14ac:dyDescent="0.35">
      <c r="A364" s="1"/>
      <c r="B364" s="2"/>
    </row>
    <row r="365" spans="1:2" ht="15.75" customHeight="1" x14ac:dyDescent="0.35">
      <c r="A365" s="1"/>
      <c r="B365" s="2"/>
    </row>
    <row r="366" spans="1:2" ht="15.75" customHeight="1" x14ac:dyDescent="0.35">
      <c r="A366" s="1"/>
      <c r="B366" s="2"/>
    </row>
    <row r="367" spans="1:2" ht="15.75" customHeight="1" x14ac:dyDescent="0.35">
      <c r="A367" s="1"/>
      <c r="B367" s="2"/>
    </row>
    <row r="368" spans="1:2" ht="15.75" customHeight="1" x14ac:dyDescent="0.35">
      <c r="A368" s="1"/>
      <c r="B368" s="2"/>
    </row>
    <row r="369" spans="1:2" ht="15.75" customHeight="1" x14ac:dyDescent="0.35">
      <c r="A369" s="1"/>
      <c r="B369" s="2"/>
    </row>
    <row r="370" spans="1:2" ht="15.75" customHeight="1" x14ac:dyDescent="0.35">
      <c r="A370" s="1"/>
      <c r="B370" s="2"/>
    </row>
    <row r="371" spans="1:2" ht="15.75" customHeight="1" x14ac:dyDescent="0.35">
      <c r="A371" s="1"/>
      <c r="B371" s="2"/>
    </row>
    <row r="372" spans="1:2" ht="15.75" customHeight="1" x14ac:dyDescent="0.35">
      <c r="A372" s="1"/>
      <c r="B372" s="2"/>
    </row>
    <row r="373" spans="1:2" ht="15.75" customHeight="1" x14ac:dyDescent="0.35">
      <c r="A373" s="1"/>
      <c r="B373" s="2"/>
    </row>
    <row r="374" spans="1:2" ht="15.75" customHeight="1" x14ac:dyDescent="0.35">
      <c r="A374" s="1"/>
      <c r="B374" s="2"/>
    </row>
    <row r="375" spans="1:2" ht="15.75" customHeight="1" x14ac:dyDescent="0.35">
      <c r="A375" s="1"/>
      <c r="B375" s="2"/>
    </row>
    <row r="376" spans="1:2" ht="15.75" customHeight="1" x14ac:dyDescent="0.35">
      <c r="A376" s="1"/>
      <c r="B376" s="2"/>
    </row>
    <row r="377" spans="1:2" ht="15.75" customHeight="1" x14ac:dyDescent="0.35">
      <c r="A377" s="1"/>
      <c r="B377" s="2"/>
    </row>
    <row r="378" spans="1:2" ht="15.75" customHeight="1" x14ac:dyDescent="0.35">
      <c r="A378" s="1"/>
      <c r="B378" s="2"/>
    </row>
    <row r="379" spans="1:2" ht="15.75" customHeight="1" x14ac:dyDescent="0.35">
      <c r="A379" s="1"/>
      <c r="B379" s="2"/>
    </row>
    <row r="380" spans="1:2" ht="15.75" customHeight="1" x14ac:dyDescent="0.35">
      <c r="A380" s="1"/>
      <c r="B380" s="2"/>
    </row>
    <row r="381" spans="1:2" ht="15.75" customHeight="1" x14ac:dyDescent="0.35">
      <c r="A381" s="1"/>
      <c r="B381" s="2"/>
    </row>
    <row r="382" spans="1:2" ht="15.75" customHeight="1" x14ac:dyDescent="0.35">
      <c r="A382" s="1"/>
      <c r="B382" s="2"/>
    </row>
    <row r="383" spans="1:2" ht="15.75" customHeight="1" x14ac:dyDescent="0.35">
      <c r="A383" s="1"/>
      <c r="B383" s="2"/>
    </row>
    <row r="384" spans="1:2" ht="15.75" customHeight="1" x14ac:dyDescent="0.35">
      <c r="A384" s="1"/>
      <c r="B384" s="2"/>
    </row>
    <row r="385" spans="1:2" ht="15.75" customHeight="1" x14ac:dyDescent="0.35">
      <c r="A385" s="1"/>
      <c r="B385" s="2"/>
    </row>
    <row r="386" spans="1:2" ht="15.75" customHeight="1" x14ac:dyDescent="0.35">
      <c r="A386" s="1"/>
      <c r="B386" s="2"/>
    </row>
    <row r="387" spans="1:2" ht="15.75" customHeight="1" x14ac:dyDescent="0.35">
      <c r="A387" s="1"/>
      <c r="B387" s="2"/>
    </row>
    <row r="388" spans="1:2" ht="15.75" customHeight="1" x14ac:dyDescent="0.35">
      <c r="A388" s="1"/>
      <c r="B388" s="2"/>
    </row>
    <row r="389" spans="1:2" ht="15.75" customHeight="1" x14ac:dyDescent="0.35">
      <c r="A389" s="1"/>
      <c r="B389" s="2"/>
    </row>
    <row r="390" spans="1:2" ht="15.75" customHeight="1" x14ac:dyDescent="0.35">
      <c r="A390" s="1"/>
      <c r="B390" s="2"/>
    </row>
    <row r="391" spans="1:2" ht="15.75" customHeight="1" x14ac:dyDescent="0.35">
      <c r="A391" s="1"/>
      <c r="B391" s="2"/>
    </row>
    <row r="392" spans="1:2" ht="15.75" customHeight="1" x14ac:dyDescent="0.35">
      <c r="A392" s="1"/>
      <c r="B392" s="2"/>
    </row>
    <row r="393" spans="1:2" ht="15.75" customHeight="1" x14ac:dyDescent="0.35">
      <c r="A393" s="1"/>
      <c r="B393" s="2"/>
    </row>
    <row r="394" spans="1:2" ht="15.75" customHeight="1" x14ac:dyDescent="0.35">
      <c r="A394" s="1"/>
      <c r="B394" s="2"/>
    </row>
    <row r="395" spans="1:2" ht="15.75" customHeight="1" x14ac:dyDescent="0.35">
      <c r="A395" s="1"/>
      <c r="B395" s="2"/>
    </row>
    <row r="396" spans="1:2" ht="15.75" customHeight="1" x14ac:dyDescent="0.35">
      <c r="A396" s="1"/>
      <c r="B396" s="2"/>
    </row>
    <row r="397" spans="1:2" ht="15.75" customHeight="1" x14ac:dyDescent="0.35">
      <c r="A397" s="1"/>
      <c r="B397" s="2"/>
    </row>
    <row r="398" spans="1:2" ht="15.75" customHeight="1" x14ac:dyDescent="0.35">
      <c r="A398" s="1"/>
      <c r="B398" s="2"/>
    </row>
    <row r="399" spans="1:2" ht="15.75" customHeight="1" x14ac:dyDescent="0.35">
      <c r="A399" s="1"/>
      <c r="B399" s="2"/>
    </row>
    <row r="400" spans="1:2" ht="15.75" customHeight="1" x14ac:dyDescent="0.35">
      <c r="A400" s="1"/>
      <c r="B400" s="2"/>
    </row>
    <row r="401" spans="1:2" ht="15.75" customHeight="1" x14ac:dyDescent="0.35">
      <c r="A401" s="1"/>
      <c r="B401" s="2"/>
    </row>
    <row r="402" spans="1:2" ht="15.75" customHeight="1" x14ac:dyDescent="0.35">
      <c r="A402" s="1"/>
      <c r="B402" s="2"/>
    </row>
    <row r="403" spans="1:2" ht="15.75" customHeight="1" x14ac:dyDescent="0.35">
      <c r="A403" s="1"/>
      <c r="B403" s="2"/>
    </row>
    <row r="404" spans="1:2" ht="15.75" customHeight="1" x14ac:dyDescent="0.35">
      <c r="A404" s="1"/>
      <c r="B404" s="2"/>
    </row>
    <row r="405" spans="1:2" ht="15.75" customHeight="1" x14ac:dyDescent="0.35">
      <c r="A405" s="1"/>
      <c r="B405" s="2"/>
    </row>
    <row r="406" spans="1:2" ht="15.75" customHeight="1" x14ac:dyDescent="0.35">
      <c r="A406" s="1"/>
      <c r="B406" s="2"/>
    </row>
    <row r="407" spans="1:2" ht="15.75" customHeight="1" x14ac:dyDescent="0.35">
      <c r="A407" s="1"/>
      <c r="B407" s="2"/>
    </row>
    <row r="408" spans="1:2" ht="15.75" customHeight="1" x14ac:dyDescent="0.35">
      <c r="A408" s="1"/>
      <c r="B408" s="2"/>
    </row>
    <row r="409" spans="1:2" ht="15.75" customHeight="1" x14ac:dyDescent="0.35">
      <c r="A409" s="1"/>
      <c r="B409" s="2"/>
    </row>
    <row r="410" spans="1:2" ht="15.75" customHeight="1" x14ac:dyDescent="0.35">
      <c r="A410" s="1"/>
      <c r="B410" s="2"/>
    </row>
    <row r="411" spans="1:2" ht="15.75" customHeight="1" x14ac:dyDescent="0.35">
      <c r="A411" s="1"/>
      <c r="B411" s="2"/>
    </row>
    <row r="412" spans="1:2" ht="15.75" customHeight="1" x14ac:dyDescent="0.35">
      <c r="A412" s="1"/>
      <c r="B412" s="2"/>
    </row>
    <row r="413" spans="1:2" ht="15.75" customHeight="1" x14ac:dyDescent="0.35">
      <c r="A413" s="1"/>
      <c r="B413" s="2"/>
    </row>
    <row r="414" spans="1:2" ht="15.75" customHeight="1" x14ac:dyDescent="0.35">
      <c r="A414" s="1"/>
      <c r="B414" s="2"/>
    </row>
    <row r="415" spans="1:2" ht="15.75" customHeight="1" x14ac:dyDescent="0.35">
      <c r="A415" s="1"/>
      <c r="B415" s="2"/>
    </row>
    <row r="416" spans="1:2" ht="15.75" customHeight="1" x14ac:dyDescent="0.35">
      <c r="A416" s="1"/>
      <c r="B416" s="2"/>
    </row>
    <row r="417" spans="1:2" ht="15.75" customHeight="1" x14ac:dyDescent="0.35">
      <c r="A417" s="1"/>
      <c r="B417" s="2"/>
    </row>
    <row r="418" spans="1:2" ht="15.75" customHeight="1" x14ac:dyDescent="0.35">
      <c r="A418" s="1"/>
      <c r="B418" s="2"/>
    </row>
    <row r="419" spans="1:2" ht="15.75" customHeight="1" x14ac:dyDescent="0.35">
      <c r="A419" s="1"/>
      <c r="B419" s="2"/>
    </row>
    <row r="420" spans="1:2" ht="15.75" customHeight="1" x14ac:dyDescent="0.35">
      <c r="A420" s="1"/>
      <c r="B420" s="2"/>
    </row>
    <row r="421" spans="1:2" ht="15.75" customHeight="1" x14ac:dyDescent="0.35">
      <c r="A421" s="1"/>
      <c r="B421" s="2"/>
    </row>
    <row r="422" spans="1:2" ht="15.75" customHeight="1" x14ac:dyDescent="0.35">
      <c r="A422" s="1"/>
      <c r="B422" s="2"/>
    </row>
    <row r="423" spans="1:2" ht="15.75" customHeight="1" x14ac:dyDescent="0.35">
      <c r="A423" s="1"/>
      <c r="B423" s="2"/>
    </row>
    <row r="424" spans="1:2" ht="15.75" customHeight="1" x14ac:dyDescent="0.35">
      <c r="A424" s="1"/>
      <c r="B424" s="2"/>
    </row>
    <row r="425" spans="1:2" ht="15.75" customHeight="1" x14ac:dyDescent="0.35">
      <c r="A425" s="1"/>
      <c r="B425" s="2"/>
    </row>
    <row r="426" spans="1:2" ht="15.75" customHeight="1" x14ac:dyDescent="0.35">
      <c r="A426" s="1"/>
      <c r="B426" s="2"/>
    </row>
    <row r="427" spans="1:2" ht="15.75" customHeight="1" x14ac:dyDescent="0.35">
      <c r="A427" s="1"/>
      <c r="B427" s="2"/>
    </row>
    <row r="428" spans="1:2" ht="15.75" customHeight="1" x14ac:dyDescent="0.35">
      <c r="A428" s="1"/>
      <c r="B428" s="2"/>
    </row>
    <row r="429" spans="1:2" ht="15.75" customHeight="1" x14ac:dyDescent="0.35">
      <c r="A429" s="1"/>
      <c r="B429" s="2"/>
    </row>
    <row r="430" spans="1:2" ht="15.75" customHeight="1" x14ac:dyDescent="0.35">
      <c r="A430" s="1"/>
      <c r="B430" s="2"/>
    </row>
    <row r="431" spans="1:2" ht="15.75" customHeight="1" x14ac:dyDescent="0.35">
      <c r="A431" s="1"/>
      <c r="B431" s="2"/>
    </row>
    <row r="432" spans="1:2" ht="15.75" customHeight="1" x14ac:dyDescent="0.35">
      <c r="A432" s="1"/>
      <c r="B432" s="2"/>
    </row>
    <row r="433" spans="1:2" ht="15.75" customHeight="1" x14ac:dyDescent="0.35">
      <c r="A433" s="1"/>
      <c r="B433" s="2"/>
    </row>
    <row r="434" spans="1:2" ht="15.75" customHeight="1" x14ac:dyDescent="0.35">
      <c r="A434" s="1"/>
      <c r="B434" s="2"/>
    </row>
    <row r="435" spans="1:2" ht="15.75" customHeight="1" x14ac:dyDescent="0.35">
      <c r="A435" s="1"/>
      <c r="B435" s="2"/>
    </row>
    <row r="436" spans="1:2" ht="15.75" customHeight="1" x14ac:dyDescent="0.35">
      <c r="A436" s="1"/>
      <c r="B436" s="2"/>
    </row>
    <row r="437" spans="1:2" ht="15.75" customHeight="1" x14ac:dyDescent="0.35">
      <c r="A437" s="1"/>
      <c r="B437" s="2"/>
    </row>
    <row r="438" spans="1:2" ht="15.75" customHeight="1" x14ac:dyDescent="0.35">
      <c r="A438" s="1"/>
      <c r="B438" s="2"/>
    </row>
    <row r="439" spans="1:2" ht="15.75" customHeight="1" x14ac:dyDescent="0.35">
      <c r="A439" s="1"/>
      <c r="B439" s="2"/>
    </row>
    <row r="440" spans="1:2" ht="15.75" customHeight="1" x14ac:dyDescent="0.35">
      <c r="A440" s="1"/>
      <c r="B440" s="2"/>
    </row>
    <row r="441" spans="1:2" ht="15.75" customHeight="1" x14ac:dyDescent="0.35">
      <c r="A441" s="1"/>
      <c r="B441" s="2"/>
    </row>
    <row r="442" spans="1:2" ht="15.75" customHeight="1" x14ac:dyDescent="0.35">
      <c r="A442" s="1"/>
      <c r="B442" s="2"/>
    </row>
    <row r="443" spans="1:2" ht="15.75" customHeight="1" x14ac:dyDescent="0.35">
      <c r="A443" s="1"/>
      <c r="B443" s="2"/>
    </row>
    <row r="444" spans="1:2" ht="15.75" customHeight="1" x14ac:dyDescent="0.35">
      <c r="A444" s="1"/>
      <c r="B444" s="2"/>
    </row>
    <row r="445" spans="1:2" ht="15.75" customHeight="1" x14ac:dyDescent="0.35">
      <c r="A445" s="1"/>
      <c r="B445" s="2"/>
    </row>
    <row r="446" spans="1:2" ht="15.75" customHeight="1" x14ac:dyDescent="0.35">
      <c r="A446" s="1"/>
      <c r="B446" s="2"/>
    </row>
    <row r="447" spans="1:2" ht="15.75" customHeight="1" x14ac:dyDescent="0.35">
      <c r="A447" s="1"/>
      <c r="B447" s="2"/>
    </row>
    <row r="448" spans="1:2" ht="15.75" customHeight="1" x14ac:dyDescent="0.35">
      <c r="A448" s="1"/>
      <c r="B448" s="2"/>
    </row>
    <row r="449" spans="1:2" ht="15.75" customHeight="1" x14ac:dyDescent="0.35">
      <c r="A449" s="1"/>
      <c r="B449" s="2"/>
    </row>
    <row r="450" spans="1:2" ht="15.75" customHeight="1" x14ac:dyDescent="0.35">
      <c r="A450" s="1"/>
      <c r="B450" s="2"/>
    </row>
    <row r="451" spans="1:2" ht="15.75" customHeight="1" x14ac:dyDescent="0.35">
      <c r="A451" s="1"/>
      <c r="B451" s="2"/>
    </row>
    <row r="452" spans="1:2" ht="15.75" customHeight="1" x14ac:dyDescent="0.35">
      <c r="A452" s="1"/>
      <c r="B452" s="2"/>
    </row>
    <row r="453" spans="1:2" ht="15.75" customHeight="1" x14ac:dyDescent="0.35">
      <c r="A453" s="1"/>
      <c r="B453" s="2"/>
    </row>
    <row r="454" spans="1:2" ht="15.75" customHeight="1" x14ac:dyDescent="0.35">
      <c r="A454" s="1"/>
      <c r="B454" s="2"/>
    </row>
    <row r="455" spans="1:2" ht="15.75" customHeight="1" x14ac:dyDescent="0.35">
      <c r="A455" s="1"/>
      <c r="B455" s="2"/>
    </row>
    <row r="456" spans="1:2" ht="15.75" customHeight="1" x14ac:dyDescent="0.35">
      <c r="A456" s="1"/>
      <c r="B456" s="2"/>
    </row>
    <row r="457" spans="1:2" ht="15.75" customHeight="1" x14ac:dyDescent="0.35">
      <c r="A457" s="1"/>
      <c r="B457" s="2"/>
    </row>
    <row r="458" spans="1:2" ht="15.75" customHeight="1" x14ac:dyDescent="0.35">
      <c r="A458" s="1"/>
      <c r="B458" s="2"/>
    </row>
    <row r="459" spans="1:2" ht="15.75" customHeight="1" x14ac:dyDescent="0.35">
      <c r="A459" s="1"/>
      <c r="B459" s="2"/>
    </row>
    <row r="460" spans="1:2" ht="15.75" customHeight="1" x14ac:dyDescent="0.35">
      <c r="A460" s="1"/>
      <c r="B460" s="2"/>
    </row>
    <row r="461" spans="1:2" ht="15.75" customHeight="1" x14ac:dyDescent="0.35">
      <c r="A461" s="1"/>
      <c r="B461" s="2"/>
    </row>
    <row r="462" spans="1:2" ht="15.75" customHeight="1" x14ac:dyDescent="0.35">
      <c r="A462" s="1"/>
      <c r="B462" s="2"/>
    </row>
    <row r="463" spans="1:2" ht="15.75" customHeight="1" x14ac:dyDescent="0.35">
      <c r="A463" s="1"/>
      <c r="B463" s="2"/>
    </row>
    <row r="464" spans="1:2" ht="15.75" customHeight="1" x14ac:dyDescent="0.35">
      <c r="A464" s="1"/>
      <c r="B464" s="2"/>
    </row>
    <row r="465" spans="1:2" ht="15.75" customHeight="1" x14ac:dyDescent="0.35">
      <c r="A465" s="1"/>
      <c r="B465" s="2"/>
    </row>
    <row r="466" spans="1:2" ht="15.75" customHeight="1" x14ac:dyDescent="0.35">
      <c r="A466" s="1"/>
      <c r="B466" s="2"/>
    </row>
    <row r="467" spans="1:2" ht="15.75" customHeight="1" x14ac:dyDescent="0.35">
      <c r="A467" s="1"/>
      <c r="B467" s="2"/>
    </row>
    <row r="468" spans="1:2" ht="15.75" customHeight="1" x14ac:dyDescent="0.35">
      <c r="A468" s="1"/>
      <c r="B468" s="2"/>
    </row>
    <row r="469" spans="1:2" ht="15.75" customHeight="1" x14ac:dyDescent="0.35">
      <c r="A469" s="1"/>
      <c r="B469" s="2"/>
    </row>
    <row r="470" spans="1:2" ht="15.75" customHeight="1" x14ac:dyDescent="0.35">
      <c r="A470" s="1"/>
      <c r="B470" s="2"/>
    </row>
    <row r="471" spans="1:2" ht="15.75" customHeight="1" x14ac:dyDescent="0.35">
      <c r="A471" s="1"/>
      <c r="B471" s="2"/>
    </row>
    <row r="472" spans="1:2" ht="15.75" customHeight="1" x14ac:dyDescent="0.35">
      <c r="A472" s="1"/>
      <c r="B472" s="2"/>
    </row>
    <row r="473" spans="1:2" ht="15.75" customHeight="1" x14ac:dyDescent="0.35">
      <c r="A473" s="1"/>
      <c r="B473" s="2"/>
    </row>
    <row r="474" spans="1:2" ht="15.75" customHeight="1" x14ac:dyDescent="0.35">
      <c r="A474" s="1"/>
      <c r="B474" s="2"/>
    </row>
    <row r="475" spans="1:2" ht="15.75" customHeight="1" x14ac:dyDescent="0.35">
      <c r="A475" s="1"/>
      <c r="B475" s="2"/>
    </row>
    <row r="476" spans="1:2" ht="15.75" customHeight="1" x14ac:dyDescent="0.35">
      <c r="A476" s="1"/>
      <c r="B476" s="2"/>
    </row>
    <row r="477" spans="1:2" ht="15.75" customHeight="1" x14ac:dyDescent="0.35">
      <c r="A477" s="1"/>
      <c r="B477" s="2"/>
    </row>
    <row r="478" spans="1:2" ht="15.75" customHeight="1" x14ac:dyDescent="0.35">
      <c r="A478" s="1"/>
      <c r="B478" s="2"/>
    </row>
    <row r="479" spans="1:2" ht="15.75" customHeight="1" x14ac:dyDescent="0.35">
      <c r="A479" s="1"/>
      <c r="B479" s="2"/>
    </row>
    <row r="480" spans="1:2" ht="15.75" customHeight="1" x14ac:dyDescent="0.35">
      <c r="A480" s="1"/>
      <c r="B480" s="2"/>
    </row>
    <row r="481" spans="1:2" ht="15.75" customHeight="1" x14ac:dyDescent="0.35">
      <c r="A481" s="1"/>
      <c r="B481" s="2"/>
    </row>
    <row r="482" spans="1:2" ht="15.75" customHeight="1" x14ac:dyDescent="0.35">
      <c r="A482" s="1"/>
      <c r="B482" s="2"/>
    </row>
    <row r="483" spans="1:2" ht="15.75" customHeight="1" x14ac:dyDescent="0.35">
      <c r="A483" s="1"/>
      <c r="B483" s="2"/>
    </row>
    <row r="484" spans="1:2" ht="15.75" customHeight="1" x14ac:dyDescent="0.35">
      <c r="A484" s="1"/>
      <c r="B484" s="2"/>
    </row>
    <row r="485" spans="1:2" ht="15.75" customHeight="1" x14ac:dyDescent="0.35">
      <c r="A485" s="1"/>
      <c r="B485" s="2"/>
    </row>
    <row r="486" spans="1:2" ht="15.75" customHeight="1" x14ac:dyDescent="0.35">
      <c r="A486" s="1"/>
      <c r="B486" s="2"/>
    </row>
    <row r="487" spans="1:2" ht="15.75" customHeight="1" x14ac:dyDescent="0.35">
      <c r="A487" s="1"/>
      <c r="B487" s="2"/>
    </row>
    <row r="488" spans="1:2" ht="15.75" customHeight="1" x14ac:dyDescent="0.35">
      <c r="A488" s="1"/>
      <c r="B488" s="2"/>
    </row>
    <row r="489" spans="1:2" ht="15.75" customHeight="1" x14ac:dyDescent="0.35">
      <c r="A489" s="1"/>
      <c r="B489" s="2"/>
    </row>
    <row r="490" spans="1:2" ht="15.75" customHeight="1" x14ac:dyDescent="0.35">
      <c r="A490" s="1"/>
      <c r="B490" s="2"/>
    </row>
    <row r="491" spans="1:2" ht="15.75" customHeight="1" x14ac:dyDescent="0.35">
      <c r="A491" s="1"/>
      <c r="B491" s="2"/>
    </row>
    <row r="492" spans="1:2" ht="15.75" customHeight="1" x14ac:dyDescent="0.35">
      <c r="A492" s="1"/>
      <c r="B492" s="2"/>
    </row>
    <row r="493" spans="1:2" ht="15.75" customHeight="1" x14ac:dyDescent="0.35">
      <c r="A493" s="1"/>
      <c r="B493" s="2"/>
    </row>
    <row r="494" spans="1:2" ht="15.75" customHeight="1" x14ac:dyDescent="0.35">
      <c r="A494" s="1"/>
      <c r="B494" s="2"/>
    </row>
    <row r="495" spans="1:2" ht="15.75" customHeight="1" x14ac:dyDescent="0.35">
      <c r="A495" s="1"/>
      <c r="B495" s="2"/>
    </row>
    <row r="496" spans="1:2" ht="15.75" customHeight="1" x14ac:dyDescent="0.35">
      <c r="A496" s="1"/>
      <c r="B496" s="2"/>
    </row>
    <row r="497" spans="1:2" ht="15.75" customHeight="1" x14ac:dyDescent="0.35">
      <c r="A497" s="1"/>
      <c r="B497" s="2"/>
    </row>
    <row r="498" spans="1:2" ht="15.75" customHeight="1" x14ac:dyDescent="0.35">
      <c r="A498" s="1"/>
      <c r="B498" s="2"/>
    </row>
    <row r="499" spans="1:2" ht="15.75" customHeight="1" x14ac:dyDescent="0.35">
      <c r="A499" s="1"/>
      <c r="B499" s="2"/>
    </row>
    <row r="500" spans="1:2" ht="15.75" customHeight="1" x14ac:dyDescent="0.35">
      <c r="A500" s="1"/>
      <c r="B500" s="2"/>
    </row>
    <row r="501" spans="1:2" ht="15.75" customHeight="1" x14ac:dyDescent="0.35">
      <c r="A501" s="1"/>
      <c r="B501" s="2"/>
    </row>
    <row r="502" spans="1:2" ht="15.75" customHeight="1" x14ac:dyDescent="0.35">
      <c r="A502" s="1"/>
      <c r="B502" s="2"/>
    </row>
    <row r="503" spans="1:2" ht="15.75" customHeight="1" x14ac:dyDescent="0.35">
      <c r="A503" s="1"/>
      <c r="B503" s="2"/>
    </row>
    <row r="504" spans="1:2" ht="15.75" customHeight="1" x14ac:dyDescent="0.35">
      <c r="A504" s="1"/>
      <c r="B504" s="2"/>
    </row>
    <row r="505" spans="1:2" ht="15.75" customHeight="1" x14ac:dyDescent="0.35">
      <c r="A505" s="1"/>
      <c r="B505" s="2"/>
    </row>
    <row r="506" spans="1:2" ht="15.75" customHeight="1" x14ac:dyDescent="0.35">
      <c r="A506" s="1"/>
      <c r="B506" s="2"/>
    </row>
    <row r="507" spans="1:2" ht="15.75" customHeight="1" x14ac:dyDescent="0.35">
      <c r="A507" s="1"/>
      <c r="B507" s="2"/>
    </row>
    <row r="508" spans="1:2" ht="15.75" customHeight="1" x14ac:dyDescent="0.35">
      <c r="A508" s="1"/>
      <c r="B508" s="2"/>
    </row>
    <row r="509" spans="1:2" ht="15.75" customHeight="1" x14ac:dyDescent="0.35">
      <c r="A509" s="1"/>
      <c r="B509" s="2"/>
    </row>
    <row r="510" spans="1:2" ht="15.75" customHeight="1" x14ac:dyDescent="0.35">
      <c r="A510" s="1"/>
      <c r="B510" s="2"/>
    </row>
    <row r="511" spans="1:2" ht="15.75" customHeight="1" x14ac:dyDescent="0.35">
      <c r="A511" s="1"/>
      <c r="B511" s="2"/>
    </row>
    <row r="512" spans="1:2" ht="15.75" customHeight="1" x14ac:dyDescent="0.35">
      <c r="A512" s="1"/>
      <c r="B512" s="2"/>
    </row>
    <row r="513" spans="1:2" ht="15.75" customHeight="1" x14ac:dyDescent="0.35">
      <c r="A513" s="1"/>
      <c r="B513" s="2"/>
    </row>
    <row r="514" spans="1:2" ht="15.75" customHeight="1" x14ac:dyDescent="0.35">
      <c r="A514" s="1"/>
      <c r="B514" s="2"/>
    </row>
    <row r="515" spans="1:2" ht="15.75" customHeight="1" x14ac:dyDescent="0.35">
      <c r="A515" s="1"/>
      <c r="B515" s="2"/>
    </row>
    <row r="516" spans="1:2" ht="15.75" customHeight="1" x14ac:dyDescent="0.35">
      <c r="A516" s="1"/>
      <c r="B516" s="2"/>
    </row>
    <row r="517" spans="1:2" ht="15.75" customHeight="1" x14ac:dyDescent="0.35">
      <c r="A517" s="1"/>
      <c r="B517" s="2"/>
    </row>
    <row r="518" spans="1:2" ht="15.75" customHeight="1" x14ac:dyDescent="0.35">
      <c r="A518" s="1"/>
      <c r="B518" s="2"/>
    </row>
    <row r="519" spans="1:2" ht="15.75" customHeight="1" x14ac:dyDescent="0.35">
      <c r="A519" s="1"/>
      <c r="B519" s="2"/>
    </row>
    <row r="520" spans="1:2" ht="15.75" customHeight="1" x14ac:dyDescent="0.35">
      <c r="A520" s="1"/>
      <c r="B520" s="2"/>
    </row>
    <row r="521" spans="1:2" ht="15.75" customHeight="1" x14ac:dyDescent="0.35">
      <c r="A521" s="1"/>
      <c r="B521" s="2"/>
    </row>
    <row r="522" spans="1:2" ht="15.75" customHeight="1" x14ac:dyDescent="0.35">
      <c r="A522" s="1"/>
      <c r="B522" s="2"/>
    </row>
    <row r="523" spans="1:2" ht="15.75" customHeight="1" x14ac:dyDescent="0.35">
      <c r="A523" s="1"/>
      <c r="B523" s="2"/>
    </row>
    <row r="524" spans="1:2" ht="15.75" customHeight="1" x14ac:dyDescent="0.35">
      <c r="A524" s="1"/>
      <c r="B524" s="2"/>
    </row>
    <row r="525" spans="1:2" ht="15.75" customHeight="1" x14ac:dyDescent="0.35">
      <c r="A525" s="1"/>
      <c r="B525" s="2"/>
    </row>
    <row r="526" spans="1:2" ht="15.75" customHeight="1" x14ac:dyDescent="0.35">
      <c r="A526" s="1"/>
      <c r="B526" s="2"/>
    </row>
    <row r="527" spans="1:2" ht="15.75" customHeight="1" x14ac:dyDescent="0.35">
      <c r="A527" s="1"/>
      <c r="B527" s="2"/>
    </row>
    <row r="528" spans="1:2" ht="15.75" customHeight="1" x14ac:dyDescent="0.35">
      <c r="A528" s="1"/>
      <c r="B528" s="2"/>
    </row>
    <row r="529" spans="1:2" ht="15.75" customHeight="1" x14ac:dyDescent="0.35">
      <c r="A529" s="1"/>
      <c r="B529" s="2"/>
    </row>
    <row r="530" spans="1:2" ht="15.75" customHeight="1" x14ac:dyDescent="0.35">
      <c r="A530" s="1"/>
      <c r="B530" s="2"/>
    </row>
    <row r="531" spans="1:2" ht="15.75" customHeight="1" x14ac:dyDescent="0.35">
      <c r="A531" s="1"/>
      <c r="B531" s="2"/>
    </row>
    <row r="532" spans="1:2" ht="15.75" customHeight="1" x14ac:dyDescent="0.35">
      <c r="A532" s="1"/>
      <c r="B532" s="2"/>
    </row>
    <row r="533" spans="1:2" ht="15.75" customHeight="1" x14ac:dyDescent="0.35">
      <c r="A533" s="1"/>
      <c r="B533" s="2"/>
    </row>
    <row r="534" spans="1:2" ht="15.75" customHeight="1" x14ac:dyDescent="0.35">
      <c r="A534" s="1"/>
      <c r="B534" s="2"/>
    </row>
    <row r="535" spans="1:2" ht="15.75" customHeight="1" x14ac:dyDescent="0.35">
      <c r="A535" s="1"/>
      <c r="B535" s="2"/>
    </row>
    <row r="536" spans="1:2" ht="15.75" customHeight="1" x14ac:dyDescent="0.35">
      <c r="A536" s="1"/>
      <c r="B536" s="2"/>
    </row>
    <row r="537" spans="1:2" ht="15.75" customHeight="1" x14ac:dyDescent="0.35">
      <c r="A537" s="1"/>
      <c r="B537" s="2"/>
    </row>
    <row r="538" spans="1:2" ht="15.75" customHeight="1" x14ac:dyDescent="0.35">
      <c r="A538" s="1"/>
      <c r="B538" s="2"/>
    </row>
    <row r="539" spans="1:2" ht="15.75" customHeight="1" x14ac:dyDescent="0.35">
      <c r="A539" s="1"/>
      <c r="B539" s="2"/>
    </row>
    <row r="540" spans="1:2" ht="15.75" customHeight="1" x14ac:dyDescent="0.35">
      <c r="A540" s="1"/>
      <c r="B540" s="2"/>
    </row>
    <row r="541" spans="1:2" ht="15.75" customHeight="1" x14ac:dyDescent="0.35">
      <c r="A541" s="1"/>
      <c r="B541" s="2"/>
    </row>
    <row r="542" spans="1:2" ht="15.75" customHeight="1" x14ac:dyDescent="0.35">
      <c r="A542" s="1"/>
      <c r="B542" s="2"/>
    </row>
    <row r="543" spans="1:2" ht="15.75" customHeight="1" x14ac:dyDescent="0.35">
      <c r="A543" s="1"/>
      <c r="B543" s="2"/>
    </row>
    <row r="544" spans="1:2" ht="15.75" customHeight="1" x14ac:dyDescent="0.35">
      <c r="A544" s="1"/>
      <c r="B544" s="2"/>
    </row>
    <row r="545" spans="1:2" ht="15.75" customHeight="1" x14ac:dyDescent="0.35">
      <c r="A545" s="1"/>
      <c r="B545" s="2"/>
    </row>
    <row r="546" spans="1:2" ht="15.75" customHeight="1" x14ac:dyDescent="0.35">
      <c r="A546" s="1"/>
      <c r="B546" s="2"/>
    </row>
    <row r="547" spans="1:2" ht="15.75" customHeight="1" x14ac:dyDescent="0.35">
      <c r="A547" s="1"/>
      <c r="B547" s="2"/>
    </row>
    <row r="548" spans="1:2" ht="15.75" customHeight="1" x14ac:dyDescent="0.35">
      <c r="A548" s="1"/>
      <c r="B548" s="2"/>
    </row>
    <row r="549" spans="1:2" ht="15.75" customHeight="1" x14ac:dyDescent="0.35">
      <c r="A549" s="1"/>
      <c r="B549" s="2"/>
    </row>
    <row r="550" spans="1:2" ht="15.75" customHeight="1" x14ac:dyDescent="0.35">
      <c r="A550" s="1"/>
      <c r="B550" s="2"/>
    </row>
    <row r="551" spans="1:2" ht="15.75" customHeight="1" x14ac:dyDescent="0.35">
      <c r="A551" s="1"/>
      <c r="B551" s="2"/>
    </row>
    <row r="552" spans="1:2" ht="15.75" customHeight="1" x14ac:dyDescent="0.35">
      <c r="A552" s="1"/>
      <c r="B552" s="2"/>
    </row>
    <row r="553" spans="1:2" ht="15.75" customHeight="1" x14ac:dyDescent="0.35">
      <c r="A553" s="1"/>
      <c r="B553" s="2"/>
    </row>
    <row r="554" spans="1:2" ht="15.75" customHeight="1" x14ac:dyDescent="0.35">
      <c r="A554" s="1"/>
      <c r="B554" s="2"/>
    </row>
    <row r="555" spans="1:2" ht="15.75" customHeight="1" x14ac:dyDescent="0.35">
      <c r="A555" s="1"/>
      <c r="B555" s="2"/>
    </row>
    <row r="556" spans="1:2" ht="15.75" customHeight="1" x14ac:dyDescent="0.35">
      <c r="A556" s="1"/>
      <c r="B556" s="2"/>
    </row>
    <row r="557" spans="1:2" ht="15.75" customHeight="1" x14ac:dyDescent="0.35">
      <c r="A557" s="1"/>
      <c r="B557" s="2"/>
    </row>
    <row r="558" spans="1:2" ht="15.75" customHeight="1" x14ac:dyDescent="0.35">
      <c r="A558" s="1"/>
      <c r="B558" s="2"/>
    </row>
    <row r="559" spans="1:2" ht="15.75" customHeight="1" x14ac:dyDescent="0.35">
      <c r="A559" s="1"/>
      <c r="B559" s="2"/>
    </row>
    <row r="560" spans="1:2" ht="15.75" customHeight="1" x14ac:dyDescent="0.35">
      <c r="A560" s="1"/>
      <c r="B560" s="2"/>
    </row>
    <row r="561" spans="1:2" ht="15.75" customHeight="1" x14ac:dyDescent="0.35">
      <c r="A561" s="1"/>
      <c r="B561" s="2"/>
    </row>
    <row r="562" spans="1:2" ht="15.75" customHeight="1" x14ac:dyDescent="0.35">
      <c r="A562" s="1"/>
      <c r="B562" s="2"/>
    </row>
    <row r="563" spans="1:2" ht="15.75" customHeight="1" x14ac:dyDescent="0.35">
      <c r="A563" s="1"/>
      <c r="B563" s="2"/>
    </row>
    <row r="564" spans="1:2" ht="15.75" customHeight="1" x14ac:dyDescent="0.35">
      <c r="A564" s="1"/>
      <c r="B564" s="2"/>
    </row>
    <row r="565" spans="1:2" ht="15.75" customHeight="1" x14ac:dyDescent="0.35">
      <c r="A565" s="1"/>
      <c r="B565" s="2"/>
    </row>
    <row r="566" spans="1:2" ht="15.75" customHeight="1" x14ac:dyDescent="0.35">
      <c r="A566" s="1"/>
      <c r="B566" s="2"/>
    </row>
    <row r="567" spans="1:2" ht="15.75" customHeight="1" x14ac:dyDescent="0.35">
      <c r="A567" s="1"/>
      <c r="B567" s="2"/>
    </row>
    <row r="568" spans="1:2" ht="15.75" customHeight="1" x14ac:dyDescent="0.35">
      <c r="A568" s="1"/>
      <c r="B568" s="2"/>
    </row>
    <row r="569" spans="1:2" ht="15.75" customHeight="1" x14ac:dyDescent="0.35">
      <c r="A569" s="1"/>
      <c r="B569" s="2"/>
    </row>
    <row r="570" spans="1:2" ht="15.75" customHeight="1" x14ac:dyDescent="0.35">
      <c r="A570" s="1"/>
      <c r="B570" s="2"/>
    </row>
    <row r="571" spans="1:2" ht="15.75" customHeight="1" x14ac:dyDescent="0.35">
      <c r="A571" s="1"/>
      <c r="B571" s="2"/>
    </row>
    <row r="572" spans="1:2" ht="15.75" customHeight="1" x14ac:dyDescent="0.35">
      <c r="A572" s="1"/>
      <c r="B572" s="2"/>
    </row>
    <row r="573" spans="1:2" ht="15.75" customHeight="1" x14ac:dyDescent="0.35">
      <c r="A573" s="1"/>
      <c r="B573" s="2"/>
    </row>
    <row r="574" spans="1:2" ht="15.75" customHeight="1" x14ac:dyDescent="0.35">
      <c r="A574" s="1"/>
      <c r="B574" s="2"/>
    </row>
    <row r="575" spans="1:2" ht="15.75" customHeight="1" x14ac:dyDescent="0.35">
      <c r="A575" s="1"/>
      <c r="B575" s="2"/>
    </row>
    <row r="576" spans="1:2" ht="15.75" customHeight="1" x14ac:dyDescent="0.35">
      <c r="A576" s="1"/>
      <c r="B576" s="2"/>
    </row>
    <row r="577" spans="1:2" ht="15.75" customHeight="1" x14ac:dyDescent="0.35">
      <c r="A577" s="1"/>
      <c r="B577" s="2"/>
    </row>
    <row r="578" spans="1:2" ht="15.75" customHeight="1" x14ac:dyDescent="0.35">
      <c r="A578" s="1"/>
      <c r="B578" s="2"/>
    </row>
    <row r="579" spans="1:2" ht="15.75" customHeight="1" x14ac:dyDescent="0.35">
      <c r="A579" s="1"/>
      <c r="B579" s="2"/>
    </row>
    <row r="580" spans="1:2" ht="15.75" customHeight="1" x14ac:dyDescent="0.35">
      <c r="A580" s="1"/>
      <c r="B580" s="2"/>
    </row>
    <row r="581" spans="1:2" ht="15.75" customHeight="1" x14ac:dyDescent="0.35">
      <c r="A581" s="1"/>
      <c r="B581" s="2"/>
    </row>
    <row r="582" spans="1:2" ht="15.75" customHeight="1" x14ac:dyDescent="0.35">
      <c r="A582" s="1"/>
      <c r="B582" s="2"/>
    </row>
    <row r="583" spans="1:2" ht="15.75" customHeight="1" x14ac:dyDescent="0.35">
      <c r="A583" s="1"/>
      <c r="B583" s="2"/>
    </row>
    <row r="584" spans="1:2" ht="15.75" customHeight="1" x14ac:dyDescent="0.35">
      <c r="A584" s="1"/>
      <c r="B584" s="2"/>
    </row>
    <row r="585" spans="1:2" ht="15.75" customHeight="1" x14ac:dyDescent="0.35">
      <c r="A585" s="1"/>
      <c r="B585" s="2"/>
    </row>
    <row r="586" spans="1:2" ht="15.75" customHeight="1" x14ac:dyDescent="0.35">
      <c r="A586" s="1"/>
      <c r="B586" s="2"/>
    </row>
    <row r="587" spans="1:2" ht="15.75" customHeight="1" x14ac:dyDescent="0.35">
      <c r="A587" s="1"/>
      <c r="B587" s="2"/>
    </row>
    <row r="588" spans="1:2" ht="15.75" customHeight="1" x14ac:dyDescent="0.35">
      <c r="A588" s="1"/>
      <c r="B588" s="2"/>
    </row>
    <row r="589" spans="1:2" ht="15.75" customHeight="1" x14ac:dyDescent="0.35">
      <c r="A589" s="1"/>
      <c r="B589" s="2"/>
    </row>
    <row r="590" spans="1:2" ht="15.75" customHeight="1" x14ac:dyDescent="0.35">
      <c r="A590" s="1"/>
      <c r="B590" s="2"/>
    </row>
    <row r="591" spans="1:2" ht="15.75" customHeight="1" x14ac:dyDescent="0.35">
      <c r="A591" s="1"/>
      <c r="B591" s="2"/>
    </row>
    <row r="592" spans="1:2" ht="15.75" customHeight="1" x14ac:dyDescent="0.35">
      <c r="A592" s="1"/>
      <c r="B592" s="2"/>
    </row>
    <row r="593" spans="1:2" ht="15.75" customHeight="1" x14ac:dyDescent="0.35">
      <c r="A593" s="1"/>
      <c r="B593" s="2"/>
    </row>
    <row r="594" spans="1:2" ht="15.75" customHeight="1" x14ac:dyDescent="0.35">
      <c r="A594" s="1"/>
      <c r="B594" s="2"/>
    </row>
    <row r="595" spans="1:2" ht="15.75" customHeight="1" x14ac:dyDescent="0.35">
      <c r="A595" s="1"/>
      <c r="B595" s="2"/>
    </row>
    <row r="596" spans="1:2" ht="15.75" customHeight="1" x14ac:dyDescent="0.35">
      <c r="A596" s="1"/>
      <c r="B596" s="2"/>
    </row>
    <row r="597" spans="1:2" ht="15.75" customHeight="1" x14ac:dyDescent="0.35">
      <c r="A597" s="1"/>
      <c r="B597" s="2"/>
    </row>
    <row r="598" spans="1:2" ht="15.75" customHeight="1" x14ac:dyDescent="0.35">
      <c r="A598" s="1"/>
      <c r="B598" s="2"/>
    </row>
    <row r="599" spans="1:2" ht="15.75" customHeight="1" x14ac:dyDescent="0.35">
      <c r="A599" s="1"/>
      <c r="B599" s="2"/>
    </row>
    <row r="600" spans="1:2" ht="15.75" customHeight="1" x14ac:dyDescent="0.35">
      <c r="A600" s="1"/>
      <c r="B600" s="2"/>
    </row>
    <row r="601" spans="1:2" ht="15.75" customHeight="1" x14ac:dyDescent="0.35">
      <c r="A601" s="1"/>
      <c r="B601" s="2"/>
    </row>
    <row r="602" spans="1:2" ht="15.75" customHeight="1" x14ac:dyDescent="0.35">
      <c r="A602" s="1"/>
      <c r="B602" s="2"/>
    </row>
    <row r="603" spans="1:2" ht="15.75" customHeight="1" x14ac:dyDescent="0.35">
      <c r="A603" s="1"/>
      <c r="B603" s="2"/>
    </row>
    <row r="604" spans="1:2" ht="15.75" customHeight="1" x14ac:dyDescent="0.35">
      <c r="A604" s="1"/>
      <c r="B604" s="2"/>
    </row>
    <row r="605" spans="1:2" ht="15.75" customHeight="1" x14ac:dyDescent="0.35">
      <c r="A605" s="1"/>
      <c r="B605" s="2"/>
    </row>
    <row r="606" spans="1:2" ht="15.75" customHeight="1" x14ac:dyDescent="0.35">
      <c r="A606" s="1"/>
      <c r="B606" s="2"/>
    </row>
    <row r="607" spans="1:2" ht="15.75" customHeight="1" x14ac:dyDescent="0.35">
      <c r="A607" s="1"/>
      <c r="B607" s="2"/>
    </row>
    <row r="608" spans="1:2" ht="15.75" customHeight="1" x14ac:dyDescent="0.35">
      <c r="A608" s="1"/>
      <c r="B608" s="2"/>
    </row>
    <row r="609" spans="1:2" ht="15.75" customHeight="1" x14ac:dyDescent="0.35">
      <c r="A609" s="1"/>
      <c r="B609" s="2"/>
    </row>
    <row r="610" spans="1:2" ht="15.75" customHeight="1" x14ac:dyDescent="0.35">
      <c r="A610" s="1"/>
      <c r="B610" s="2"/>
    </row>
    <row r="611" spans="1:2" ht="15.75" customHeight="1" x14ac:dyDescent="0.35">
      <c r="A611" s="1"/>
      <c r="B611" s="2"/>
    </row>
    <row r="612" spans="1:2" ht="15.75" customHeight="1" x14ac:dyDescent="0.35">
      <c r="A612" s="1"/>
      <c r="B612" s="2"/>
    </row>
    <row r="613" spans="1:2" ht="15.75" customHeight="1" x14ac:dyDescent="0.35">
      <c r="A613" s="1"/>
      <c r="B613" s="2"/>
    </row>
    <row r="614" spans="1:2" ht="15.75" customHeight="1" x14ac:dyDescent="0.35">
      <c r="A614" s="1"/>
      <c r="B614" s="2"/>
    </row>
    <row r="615" spans="1:2" ht="15.75" customHeight="1" x14ac:dyDescent="0.35">
      <c r="A615" s="1"/>
      <c r="B615" s="2"/>
    </row>
    <row r="616" spans="1:2" ht="15.75" customHeight="1" x14ac:dyDescent="0.35">
      <c r="A616" s="1"/>
      <c r="B616" s="2"/>
    </row>
    <row r="617" spans="1:2" ht="15.75" customHeight="1" x14ac:dyDescent="0.35">
      <c r="A617" s="1"/>
      <c r="B617" s="2"/>
    </row>
    <row r="618" spans="1:2" ht="15.75" customHeight="1" x14ac:dyDescent="0.35">
      <c r="A618" s="1"/>
      <c r="B618" s="2"/>
    </row>
    <row r="619" spans="1:2" ht="15.75" customHeight="1" x14ac:dyDescent="0.35">
      <c r="A619" s="1"/>
      <c r="B619" s="2"/>
    </row>
    <row r="620" spans="1:2" ht="15.75" customHeight="1" x14ac:dyDescent="0.35">
      <c r="A620" s="1"/>
      <c r="B620" s="2"/>
    </row>
    <row r="621" spans="1:2" ht="15.75" customHeight="1" x14ac:dyDescent="0.35">
      <c r="A621" s="1"/>
      <c r="B621" s="2"/>
    </row>
    <row r="622" spans="1:2" ht="15.75" customHeight="1" x14ac:dyDescent="0.35">
      <c r="A622" s="1"/>
      <c r="B622" s="2"/>
    </row>
    <row r="623" spans="1:2" ht="15.75" customHeight="1" x14ac:dyDescent="0.35">
      <c r="A623" s="1"/>
      <c r="B623" s="2"/>
    </row>
    <row r="624" spans="1:2" ht="15.75" customHeight="1" x14ac:dyDescent="0.35">
      <c r="A624" s="1"/>
      <c r="B624" s="2"/>
    </row>
    <row r="625" spans="1:2" ht="15.75" customHeight="1" x14ac:dyDescent="0.35">
      <c r="A625" s="1"/>
      <c r="B625" s="2"/>
    </row>
    <row r="626" spans="1:2" ht="15.75" customHeight="1" x14ac:dyDescent="0.35">
      <c r="A626" s="1"/>
      <c r="B626" s="2"/>
    </row>
    <row r="627" spans="1:2" ht="15.75" customHeight="1" x14ac:dyDescent="0.35">
      <c r="A627" s="1"/>
      <c r="B627" s="2"/>
    </row>
    <row r="628" spans="1:2" ht="15.75" customHeight="1" x14ac:dyDescent="0.35">
      <c r="A628" s="1"/>
      <c r="B628" s="2"/>
    </row>
    <row r="629" spans="1:2" ht="15.75" customHeight="1" x14ac:dyDescent="0.35">
      <c r="A629" s="1"/>
      <c r="B629" s="2"/>
    </row>
    <row r="630" spans="1:2" ht="15.75" customHeight="1" x14ac:dyDescent="0.35">
      <c r="A630" s="1"/>
      <c r="B630" s="2"/>
    </row>
    <row r="631" spans="1:2" ht="15.75" customHeight="1" x14ac:dyDescent="0.35">
      <c r="A631" s="1"/>
      <c r="B631" s="2"/>
    </row>
    <row r="632" spans="1:2" ht="15.75" customHeight="1" x14ac:dyDescent="0.35">
      <c r="A632" s="1"/>
      <c r="B632" s="2"/>
    </row>
    <row r="633" spans="1:2" ht="15.75" customHeight="1" x14ac:dyDescent="0.35">
      <c r="A633" s="1"/>
      <c r="B633" s="2"/>
    </row>
    <row r="634" spans="1:2" ht="15.75" customHeight="1" x14ac:dyDescent="0.35">
      <c r="A634" s="1"/>
      <c r="B634" s="2"/>
    </row>
    <row r="635" spans="1:2" ht="15.75" customHeight="1" x14ac:dyDescent="0.35">
      <c r="A635" s="1"/>
      <c r="B635" s="2"/>
    </row>
    <row r="636" spans="1:2" ht="15.75" customHeight="1" x14ac:dyDescent="0.35">
      <c r="A636" s="1"/>
      <c r="B636" s="2"/>
    </row>
    <row r="637" spans="1:2" ht="15.75" customHeight="1" x14ac:dyDescent="0.35">
      <c r="A637" s="1"/>
      <c r="B637" s="2"/>
    </row>
    <row r="638" spans="1:2" ht="15.75" customHeight="1" x14ac:dyDescent="0.35">
      <c r="A638" s="1"/>
      <c r="B638" s="2"/>
    </row>
    <row r="639" spans="1:2" ht="15.75" customHeight="1" x14ac:dyDescent="0.35">
      <c r="A639" s="1"/>
      <c r="B639" s="2"/>
    </row>
    <row r="640" spans="1:2" ht="15.75" customHeight="1" x14ac:dyDescent="0.35">
      <c r="A640" s="1"/>
      <c r="B640" s="2"/>
    </row>
    <row r="641" spans="1:2" ht="15.75" customHeight="1" x14ac:dyDescent="0.35">
      <c r="A641" s="1"/>
      <c r="B641" s="2"/>
    </row>
    <row r="642" spans="1:2" ht="15.75" customHeight="1" x14ac:dyDescent="0.35">
      <c r="A642" s="1"/>
      <c r="B642" s="2"/>
    </row>
    <row r="643" spans="1:2" ht="15.75" customHeight="1" x14ac:dyDescent="0.35">
      <c r="A643" s="1"/>
      <c r="B643" s="2"/>
    </row>
    <row r="644" spans="1:2" ht="15.75" customHeight="1" x14ac:dyDescent="0.35">
      <c r="A644" s="1"/>
      <c r="B644" s="2"/>
    </row>
    <row r="645" spans="1:2" ht="15.75" customHeight="1" x14ac:dyDescent="0.35">
      <c r="A645" s="1"/>
      <c r="B645" s="2"/>
    </row>
    <row r="646" spans="1:2" ht="15.75" customHeight="1" x14ac:dyDescent="0.35">
      <c r="A646" s="1"/>
      <c r="B646" s="2"/>
    </row>
    <row r="647" spans="1:2" ht="15.75" customHeight="1" x14ac:dyDescent="0.35">
      <c r="A647" s="1"/>
      <c r="B647" s="2"/>
    </row>
    <row r="648" spans="1:2" ht="15.75" customHeight="1" x14ac:dyDescent="0.35">
      <c r="A648" s="1"/>
      <c r="B648" s="2"/>
    </row>
    <row r="649" spans="1:2" ht="15.75" customHeight="1" x14ac:dyDescent="0.35">
      <c r="A649" s="1"/>
      <c r="B649" s="2"/>
    </row>
    <row r="650" spans="1:2" ht="15.75" customHeight="1" x14ac:dyDescent="0.35">
      <c r="A650" s="1"/>
      <c r="B650" s="2"/>
    </row>
    <row r="651" spans="1:2" ht="15.75" customHeight="1" x14ac:dyDescent="0.35">
      <c r="A651" s="1"/>
      <c r="B651" s="2"/>
    </row>
    <row r="652" spans="1:2" ht="15.75" customHeight="1" x14ac:dyDescent="0.35">
      <c r="A652" s="1"/>
      <c r="B652" s="2"/>
    </row>
    <row r="653" spans="1:2" ht="15.75" customHeight="1" x14ac:dyDescent="0.35">
      <c r="A653" s="1"/>
      <c r="B653" s="2"/>
    </row>
    <row r="654" spans="1:2" ht="15.75" customHeight="1" x14ac:dyDescent="0.35">
      <c r="A654" s="1"/>
      <c r="B654" s="2"/>
    </row>
    <row r="655" spans="1:2" ht="15.75" customHeight="1" x14ac:dyDescent="0.35">
      <c r="A655" s="1"/>
      <c r="B655" s="2"/>
    </row>
    <row r="656" spans="1:2" ht="15.75" customHeight="1" x14ac:dyDescent="0.35">
      <c r="A656" s="1"/>
      <c r="B656" s="2"/>
    </row>
    <row r="657" spans="1:2" ht="15.75" customHeight="1" x14ac:dyDescent="0.35">
      <c r="A657" s="1"/>
      <c r="B657" s="2"/>
    </row>
    <row r="658" spans="1:2" ht="15.75" customHeight="1" x14ac:dyDescent="0.35">
      <c r="A658" s="1"/>
      <c r="B658" s="2"/>
    </row>
    <row r="659" spans="1:2" ht="15.75" customHeight="1" x14ac:dyDescent="0.35">
      <c r="A659" s="1"/>
      <c r="B659" s="2"/>
    </row>
    <row r="660" spans="1:2" ht="15.75" customHeight="1" x14ac:dyDescent="0.35">
      <c r="A660" s="1"/>
      <c r="B660" s="2"/>
    </row>
    <row r="661" spans="1:2" ht="15.75" customHeight="1" x14ac:dyDescent="0.35">
      <c r="A661" s="1"/>
      <c r="B661" s="2"/>
    </row>
    <row r="662" spans="1:2" ht="15.75" customHeight="1" x14ac:dyDescent="0.35">
      <c r="A662" s="1"/>
      <c r="B662" s="2"/>
    </row>
    <row r="663" spans="1:2" ht="15.75" customHeight="1" x14ac:dyDescent="0.35">
      <c r="A663" s="1"/>
      <c r="B663" s="2"/>
    </row>
    <row r="664" spans="1:2" ht="15.75" customHeight="1" x14ac:dyDescent="0.35">
      <c r="A664" s="1"/>
      <c r="B664" s="2"/>
    </row>
    <row r="665" spans="1:2" ht="15.75" customHeight="1" x14ac:dyDescent="0.35">
      <c r="A665" s="1"/>
      <c r="B665" s="2"/>
    </row>
    <row r="666" spans="1:2" ht="15.75" customHeight="1" x14ac:dyDescent="0.35">
      <c r="A666" s="1"/>
      <c r="B666" s="2"/>
    </row>
    <row r="667" spans="1:2" ht="15.75" customHeight="1" x14ac:dyDescent="0.35">
      <c r="A667" s="1"/>
      <c r="B667" s="2"/>
    </row>
    <row r="668" spans="1:2" ht="15.75" customHeight="1" x14ac:dyDescent="0.35">
      <c r="A668" s="1"/>
      <c r="B668" s="2"/>
    </row>
    <row r="669" spans="1:2" ht="15.75" customHeight="1" x14ac:dyDescent="0.35">
      <c r="A669" s="1"/>
      <c r="B669" s="2"/>
    </row>
    <row r="670" spans="1:2" ht="15.75" customHeight="1" x14ac:dyDescent="0.35">
      <c r="A670" s="1"/>
      <c r="B670" s="2"/>
    </row>
    <row r="671" spans="1:2" ht="15.75" customHeight="1" x14ac:dyDescent="0.35">
      <c r="A671" s="1"/>
      <c r="B671" s="2"/>
    </row>
    <row r="672" spans="1:2" ht="15.75" customHeight="1" x14ac:dyDescent="0.35">
      <c r="A672" s="1"/>
      <c r="B672" s="2"/>
    </row>
    <row r="673" spans="1:2" ht="15.75" customHeight="1" x14ac:dyDescent="0.35">
      <c r="A673" s="1"/>
      <c r="B673" s="2"/>
    </row>
    <row r="674" spans="1:2" ht="15.75" customHeight="1" x14ac:dyDescent="0.35">
      <c r="A674" s="1"/>
      <c r="B674" s="2"/>
    </row>
    <row r="675" spans="1:2" ht="15.75" customHeight="1" x14ac:dyDescent="0.35">
      <c r="A675" s="1"/>
      <c r="B675" s="2"/>
    </row>
    <row r="676" spans="1:2" ht="15.75" customHeight="1" x14ac:dyDescent="0.35">
      <c r="A676" s="1"/>
      <c r="B676" s="2"/>
    </row>
    <row r="677" spans="1:2" ht="15.75" customHeight="1" x14ac:dyDescent="0.35">
      <c r="A677" s="1"/>
      <c r="B677" s="2"/>
    </row>
    <row r="678" spans="1:2" ht="15.75" customHeight="1" x14ac:dyDescent="0.35">
      <c r="A678" s="1"/>
      <c r="B678" s="2"/>
    </row>
    <row r="679" spans="1:2" ht="15.75" customHeight="1" x14ac:dyDescent="0.35">
      <c r="A679" s="1"/>
      <c r="B679" s="2"/>
    </row>
    <row r="680" spans="1:2" ht="15.75" customHeight="1" x14ac:dyDescent="0.35">
      <c r="A680" s="1"/>
      <c r="B680" s="2"/>
    </row>
    <row r="681" spans="1:2" ht="15.75" customHeight="1" x14ac:dyDescent="0.35">
      <c r="A681" s="1"/>
      <c r="B681" s="2"/>
    </row>
    <row r="682" spans="1:2" ht="15.75" customHeight="1" x14ac:dyDescent="0.35">
      <c r="A682" s="1"/>
      <c r="B682" s="2"/>
    </row>
    <row r="683" spans="1:2" ht="15.75" customHeight="1" x14ac:dyDescent="0.35">
      <c r="A683" s="1"/>
      <c r="B683" s="2"/>
    </row>
    <row r="684" spans="1:2" ht="15.75" customHeight="1" x14ac:dyDescent="0.35">
      <c r="A684" s="1"/>
      <c r="B684" s="2"/>
    </row>
    <row r="685" spans="1:2" ht="15.75" customHeight="1" x14ac:dyDescent="0.35">
      <c r="A685" s="1"/>
      <c r="B685" s="2"/>
    </row>
    <row r="686" spans="1:2" ht="15.75" customHeight="1" x14ac:dyDescent="0.35">
      <c r="A686" s="1"/>
      <c r="B686" s="2"/>
    </row>
    <row r="687" spans="1:2" ht="15.75" customHeight="1" x14ac:dyDescent="0.35">
      <c r="A687" s="1"/>
      <c r="B687" s="2"/>
    </row>
    <row r="688" spans="1:2" ht="15.75" customHeight="1" x14ac:dyDescent="0.35">
      <c r="A688" s="1"/>
      <c r="B688" s="2"/>
    </row>
    <row r="689" spans="1:2" ht="15.75" customHeight="1" x14ac:dyDescent="0.35">
      <c r="A689" s="1"/>
      <c r="B689" s="2"/>
    </row>
    <row r="690" spans="1:2" ht="15.75" customHeight="1" x14ac:dyDescent="0.35">
      <c r="A690" s="1"/>
      <c r="B690" s="2"/>
    </row>
    <row r="691" spans="1:2" ht="15.75" customHeight="1" x14ac:dyDescent="0.35">
      <c r="A691" s="1"/>
      <c r="B691" s="2"/>
    </row>
    <row r="692" spans="1:2" ht="15.75" customHeight="1" x14ac:dyDescent="0.35">
      <c r="A692" s="1"/>
      <c r="B692" s="2"/>
    </row>
    <row r="693" spans="1:2" ht="15.75" customHeight="1" x14ac:dyDescent="0.35">
      <c r="A693" s="1"/>
      <c r="B693" s="2"/>
    </row>
    <row r="694" spans="1:2" ht="15.75" customHeight="1" x14ac:dyDescent="0.35">
      <c r="A694" s="1"/>
      <c r="B694" s="2"/>
    </row>
    <row r="695" spans="1:2" ht="15.75" customHeight="1" x14ac:dyDescent="0.35">
      <c r="A695" s="1"/>
      <c r="B695" s="2"/>
    </row>
    <row r="696" spans="1:2" ht="15.75" customHeight="1" x14ac:dyDescent="0.35">
      <c r="A696" s="1"/>
      <c r="B696" s="2"/>
    </row>
    <row r="697" spans="1:2" ht="15.75" customHeight="1" x14ac:dyDescent="0.35">
      <c r="A697" s="1"/>
      <c r="B697" s="2"/>
    </row>
    <row r="698" spans="1:2" ht="15.75" customHeight="1" x14ac:dyDescent="0.35">
      <c r="A698" s="1"/>
      <c r="B698" s="2"/>
    </row>
    <row r="699" spans="1:2" ht="15.75" customHeight="1" x14ac:dyDescent="0.35">
      <c r="A699" s="1"/>
      <c r="B699" s="2"/>
    </row>
    <row r="700" spans="1:2" ht="15.75" customHeight="1" x14ac:dyDescent="0.35">
      <c r="A700" s="1"/>
      <c r="B700" s="2"/>
    </row>
    <row r="701" spans="1:2" ht="15.75" customHeight="1" x14ac:dyDescent="0.35">
      <c r="A701" s="1"/>
      <c r="B701" s="2"/>
    </row>
    <row r="702" spans="1:2" ht="15.75" customHeight="1" x14ac:dyDescent="0.35">
      <c r="A702" s="1"/>
      <c r="B702" s="2"/>
    </row>
    <row r="703" spans="1:2" ht="15.75" customHeight="1" x14ac:dyDescent="0.35">
      <c r="A703" s="1"/>
      <c r="B703" s="2"/>
    </row>
    <row r="704" spans="1:2" ht="15.75" customHeight="1" x14ac:dyDescent="0.35">
      <c r="A704" s="1"/>
      <c r="B704" s="2"/>
    </row>
    <row r="705" spans="1:2" ht="15.75" customHeight="1" x14ac:dyDescent="0.35">
      <c r="A705" s="1"/>
      <c r="B705" s="2"/>
    </row>
    <row r="706" spans="1:2" ht="15.75" customHeight="1" x14ac:dyDescent="0.35">
      <c r="A706" s="1"/>
      <c r="B706" s="2"/>
    </row>
    <row r="707" spans="1:2" ht="15.75" customHeight="1" x14ac:dyDescent="0.35">
      <c r="A707" s="1"/>
      <c r="B707" s="2"/>
    </row>
    <row r="708" spans="1:2" ht="15.75" customHeight="1" x14ac:dyDescent="0.35">
      <c r="A708" s="1"/>
      <c r="B708" s="2"/>
    </row>
    <row r="709" spans="1:2" ht="15.75" customHeight="1" x14ac:dyDescent="0.35">
      <c r="A709" s="1"/>
      <c r="B709" s="2"/>
    </row>
    <row r="710" spans="1:2" ht="15.75" customHeight="1" x14ac:dyDescent="0.35">
      <c r="A710" s="1"/>
      <c r="B710" s="2"/>
    </row>
    <row r="711" spans="1:2" ht="15.75" customHeight="1" x14ac:dyDescent="0.35">
      <c r="A711" s="1"/>
      <c r="B711" s="2"/>
    </row>
    <row r="712" spans="1:2" ht="15.75" customHeight="1" x14ac:dyDescent="0.35">
      <c r="A712" s="1"/>
      <c r="B712" s="2"/>
    </row>
    <row r="713" spans="1:2" ht="15.75" customHeight="1" x14ac:dyDescent="0.35">
      <c r="A713" s="1"/>
      <c r="B713" s="2"/>
    </row>
    <row r="714" spans="1:2" ht="15.75" customHeight="1" x14ac:dyDescent="0.35">
      <c r="A714" s="1"/>
      <c r="B714" s="2"/>
    </row>
    <row r="715" spans="1:2" ht="15.75" customHeight="1" x14ac:dyDescent="0.35">
      <c r="A715" s="1"/>
      <c r="B715" s="2"/>
    </row>
    <row r="716" spans="1:2" ht="15.75" customHeight="1" x14ac:dyDescent="0.35">
      <c r="A716" s="1"/>
      <c r="B716" s="2"/>
    </row>
    <row r="717" spans="1:2" ht="15.75" customHeight="1" x14ac:dyDescent="0.35">
      <c r="A717" s="1"/>
      <c r="B717" s="2"/>
    </row>
    <row r="718" spans="1:2" ht="15.75" customHeight="1" x14ac:dyDescent="0.35">
      <c r="A718" s="1"/>
      <c r="B718" s="2"/>
    </row>
    <row r="719" spans="1:2" ht="15.75" customHeight="1" x14ac:dyDescent="0.35">
      <c r="A719" s="1"/>
      <c r="B719" s="2"/>
    </row>
    <row r="720" spans="1:2" ht="15.75" customHeight="1" x14ac:dyDescent="0.35">
      <c r="A720" s="1"/>
      <c r="B720" s="2"/>
    </row>
    <row r="721" spans="1:2" ht="15.75" customHeight="1" x14ac:dyDescent="0.35">
      <c r="A721" s="1"/>
      <c r="B721" s="2"/>
    </row>
    <row r="722" spans="1:2" ht="15.75" customHeight="1" x14ac:dyDescent="0.35">
      <c r="A722" s="1"/>
      <c r="B722" s="2"/>
    </row>
    <row r="723" spans="1:2" ht="15.75" customHeight="1" x14ac:dyDescent="0.35">
      <c r="A723" s="1"/>
      <c r="B723" s="2"/>
    </row>
    <row r="724" spans="1:2" ht="15.75" customHeight="1" x14ac:dyDescent="0.35">
      <c r="A724" s="1"/>
      <c r="B724" s="2"/>
    </row>
    <row r="725" spans="1:2" ht="15.75" customHeight="1" x14ac:dyDescent="0.35">
      <c r="A725" s="1"/>
      <c r="B725" s="2"/>
    </row>
    <row r="726" spans="1:2" ht="15.75" customHeight="1" x14ac:dyDescent="0.35">
      <c r="A726" s="1"/>
      <c r="B726" s="2"/>
    </row>
    <row r="727" spans="1:2" ht="15.75" customHeight="1" x14ac:dyDescent="0.35">
      <c r="A727" s="1"/>
      <c r="B727" s="2"/>
    </row>
    <row r="728" spans="1:2" ht="15.75" customHeight="1" x14ac:dyDescent="0.35">
      <c r="A728" s="1"/>
      <c r="B728" s="2"/>
    </row>
    <row r="729" spans="1:2" ht="15.75" customHeight="1" x14ac:dyDescent="0.35">
      <c r="A729" s="1"/>
      <c r="B729" s="2"/>
    </row>
    <row r="730" spans="1:2" ht="15.75" customHeight="1" x14ac:dyDescent="0.35">
      <c r="A730" s="1"/>
      <c r="B730" s="2"/>
    </row>
    <row r="731" spans="1:2" ht="15.75" customHeight="1" x14ac:dyDescent="0.35">
      <c r="A731" s="1"/>
      <c r="B731" s="2"/>
    </row>
    <row r="732" spans="1:2" ht="15.75" customHeight="1" x14ac:dyDescent="0.35">
      <c r="A732" s="1"/>
      <c r="B732" s="2"/>
    </row>
    <row r="733" spans="1:2" ht="15.75" customHeight="1" x14ac:dyDescent="0.35">
      <c r="A733" s="1"/>
      <c r="B733" s="2"/>
    </row>
    <row r="734" spans="1:2" ht="15.75" customHeight="1" x14ac:dyDescent="0.35">
      <c r="A734" s="1"/>
      <c r="B734" s="2"/>
    </row>
    <row r="735" spans="1:2" ht="15.75" customHeight="1" x14ac:dyDescent="0.35">
      <c r="A735" s="1"/>
      <c r="B735" s="2"/>
    </row>
    <row r="736" spans="1:2" ht="15.75" customHeight="1" x14ac:dyDescent="0.35">
      <c r="A736" s="1"/>
      <c r="B736" s="2"/>
    </row>
    <row r="737" spans="1:2" ht="15.75" customHeight="1" x14ac:dyDescent="0.35">
      <c r="A737" s="1"/>
      <c r="B737" s="2"/>
    </row>
    <row r="738" spans="1:2" ht="15.75" customHeight="1" x14ac:dyDescent="0.35">
      <c r="A738" s="1"/>
      <c r="B738" s="2"/>
    </row>
    <row r="739" spans="1:2" ht="15.75" customHeight="1" x14ac:dyDescent="0.35">
      <c r="A739" s="1"/>
      <c r="B739" s="2"/>
    </row>
    <row r="740" spans="1:2" ht="15.75" customHeight="1" x14ac:dyDescent="0.35">
      <c r="A740" s="1"/>
      <c r="B740" s="2"/>
    </row>
    <row r="741" spans="1:2" ht="15.75" customHeight="1" x14ac:dyDescent="0.35">
      <c r="A741" s="1"/>
      <c r="B741" s="2"/>
    </row>
    <row r="742" spans="1:2" ht="15.75" customHeight="1" x14ac:dyDescent="0.35">
      <c r="A742" s="1"/>
      <c r="B742" s="2"/>
    </row>
    <row r="743" spans="1:2" ht="15.75" customHeight="1" x14ac:dyDescent="0.35">
      <c r="A743" s="1"/>
      <c r="B743" s="2"/>
    </row>
    <row r="744" spans="1:2" ht="15.75" customHeight="1" x14ac:dyDescent="0.35">
      <c r="A744" s="1"/>
      <c r="B744" s="2"/>
    </row>
    <row r="745" spans="1:2" ht="15.75" customHeight="1" x14ac:dyDescent="0.35">
      <c r="A745" s="1"/>
      <c r="B745" s="2"/>
    </row>
    <row r="746" spans="1:2" ht="15.75" customHeight="1" x14ac:dyDescent="0.35">
      <c r="A746" s="1"/>
      <c r="B746" s="2"/>
    </row>
    <row r="747" spans="1:2" ht="15.75" customHeight="1" x14ac:dyDescent="0.35">
      <c r="A747" s="1"/>
      <c r="B747" s="2"/>
    </row>
    <row r="748" spans="1:2" ht="15.75" customHeight="1" x14ac:dyDescent="0.35">
      <c r="A748" s="1"/>
      <c r="B748" s="2"/>
    </row>
    <row r="749" spans="1:2" ht="15.75" customHeight="1" x14ac:dyDescent="0.35">
      <c r="A749" s="1"/>
      <c r="B749" s="2"/>
    </row>
    <row r="750" spans="1:2" ht="15.75" customHeight="1" x14ac:dyDescent="0.35">
      <c r="A750" s="1"/>
      <c r="B750" s="2"/>
    </row>
    <row r="751" spans="1:2" ht="15.75" customHeight="1" x14ac:dyDescent="0.35">
      <c r="A751" s="1"/>
      <c r="B751" s="2"/>
    </row>
    <row r="752" spans="1:2" ht="15.75" customHeight="1" x14ac:dyDescent="0.35">
      <c r="A752" s="1"/>
      <c r="B752" s="2"/>
    </row>
    <row r="753" spans="1:2" ht="15.75" customHeight="1" x14ac:dyDescent="0.35">
      <c r="A753" s="1"/>
      <c r="B753" s="2"/>
    </row>
    <row r="754" spans="1:2" ht="15.75" customHeight="1" x14ac:dyDescent="0.35">
      <c r="A754" s="1"/>
      <c r="B754" s="2"/>
    </row>
    <row r="755" spans="1:2" ht="15.75" customHeight="1" x14ac:dyDescent="0.35">
      <c r="A755" s="1"/>
      <c r="B755" s="2"/>
    </row>
    <row r="756" spans="1:2" ht="15.75" customHeight="1" x14ac:dyDescent="0.35">
      <c r="A756" s="1"/>
      <c r="B756" s="2"/>
    </row>
    <row r="757" spans="1:2" ht="15.75" customHeight="1" x14ac:dyDescent="0.35">
      <c r="A757" s="1"/>
      <c r="B757" s="2"/>
    </row>
    <row r="758" spans="1:2" ht="15.75" customHeight="1" x14ac:dyDescent="0.35">
      <c r="A758" s="1"/>
      <c r="B758" s="2"/>
    </row>
    <row r="759" spans="1:2" ht="15.75" customHeight="1" x14ac:dyDescent="0.35">
      <c r="A759" s="1"/>
      <c r="B759" s="2"/>
    </row>
    <row r="760" spans="1:2" ht="15.75" customHeight="1" x14ac:dyDescent="0.35">
      <c r="A760" s="1"/>
      <c r="B760" s="2"/>
    </row>
    <row r="761" spans="1:2" ht="15.75" customHeight="1" x14ac:dyDescent="0.35">
      <c r="A761" s="1"/>
      <c r="B761" s="2"/>
    </row>
    <row r="762" spans="1:2" ht="15.75" customHeight="1" x14ac:dyDescent="0.35">
      <c r="A762" s="1"/>
      <c r="B762" s="2"/>
    </row>
    <row r="763" spans="1:2" ht="15.75" customHeight="1" x14ac:dyDescent="0.35">
      <c r="A763" s="1"/>
      <c r="B763" s="2"/>
    </row>
    <row r="764" spans="1:2" ht="15.75" customHeight="1" x14ac:dyDescent="0.35">
      <c r="A764" s="1"/>
      <c r="B764" s="2"/>
    </row>
    <row r="765" spans="1:2" ht="15.75" customHeight="1" x14ac:dyDescent="0.35">
      <c r="A765" s="1"/>
      <c r="B765" s="2"/>
    </row>
    <row r="766" spans="1:2" ht="15.75" customHeight="1" x14ac:dyDescent="0.35">
      <c r="A766" s="1"/>
      <c r="B766" s="2"/>
    </row>
    <row r="767" spans="1:2" ht="15.75" customHeight="1" x14ac:dyDescent="0.35">
      <c r="A767" s="1"/>
      <c r="B767" s="2"/>
    </row>
    <row r="768" spans="1:2" ht="15.75" customHeight="1" x14ac:dyDescent="0.35">
      <c r="A768" s="1"/>
      <c r="B768" s="2"/>
    </row>
    <row r="769" spans="1:2" ht="15.75" customHeight="1" x14ac:dyDescent="0.35">
      <c r="A769" s="1"/>
      <c r="B769" s="2"/>
    </row>
    <row r="770" spans="1:2" ht="15.75" customHeight="1" x14ac:dyDescent="0.35">
      <c r="A770" s="1"/>
      <c r="B770" s="2"/>
    </row>
    <row r="771" spans="1:2" ht="15.75" customHeight="1" x14ac:dyDescent="0.35">
      <c r="A771" s="1"/>
      <c r="B771" s="2"/>
    </row>
    <row r="772" spans="1:2" ht="15.75" customHeight="1" x14ac:dyDescent="0.35">
      <c r="A772" s="1"/>
      <c r="B772" s="2"/>
    </row>
    <row r="773" spans="1:2" ht="15.75" customHeight="1" x14ac:dyDescent="0.35">
      <c r="A773" s="1"/>
      <c r="B773" s="2"/>
    </row>
    <row r="774" spans="1:2" ht="15.75" customHeight="1" x14ac:dyDescent="0.35">
      <c r="A774" s="1"/>
      <c r="B774" s="2"/>
    </row>
    <row r="775" spans="1:2" ht="15.75" customHeight="1" x14ac:dyDescent="0.35">
      <c r="A775" s="1"/>
      <c r="B775" s="2"/>
    </row>
    <row r="776" spans="1:2" ht="15.75" customHeight="1" x14ac:dyDescent="0.35">
      <c r="A776" s="1"/>
      <c r="B776" s="2"/>
    </row>
    <row r="777" spans="1:2" ht="15.75" customHeight="1" x14ac:dyDescent="0.35">
      <c r="A777" s="1"/>
      <c r="B777" s="2"/>
    </row>
    <row r="778" spans="1:2" ht="15.75" customHeight="1" x14ac:dyDescent="0.35">
      <c r="A778" s="1"/>
      <c r="B778" s="2"/>
    </row>
    <row r="779" spans="1:2" ht="15.75" customHeight="1" x14ac:dyDescent="0.35">
      <c r="A779" s="1"/>
      <c r="B779" s="2"/>
    </row>
    <row r="780" spans="1:2" ht="15.75" customHeight="1" x14ac:dyDescent="0.35">
      <c r="A780" s="1"/>
      <c r="B780" s="2"/>
    </row>
    <row r="781" spans="1:2" ht="15.75" customHeight="1" x14ac:dyDescent="0.35">
      <c r="A781" s="1"/>
      <c r="B781" s="2"/>
    </row>
    <row r="782" spans="1:2" ht="15.75" customHeight="1" x14ac:dyDescent="0.35">
      <c r="A782" s="1"/>
      <c r="B782" s="2"/>
    </row>
    <row r="783" spans="1:2" ht="15.75" customHeight="1" x14ac:dyDescent="0.35">
      <c r="A783" s="1"/>
      <c r="B783" s="2"/>
    </row>
    <row r="784" spans="1:2" ht="15.75" customHeight="1" x14ac:dyDescent="0.35">
      <c r="A784" s="1"/>
      <c r="B784" s="2"/>
    </row>
    <row r="785" spans="1:2" ht="15.75" customHeight="1" x14ac:dyDescent="0.35">
      <c r="A785" s="1"/>
      <c r="B785" s="2"/>
    </row>
    <row r="786" spans="1:2" ht="15.75" customHeight="1" x14ac:dyDescent="0.35">
      <c r="A786" s="1"/>
      <c r="B786" s="2"/>
    </row>
    <row r="787" spans="1:2" ht="15.75" customHeight="1" x14ac:dyDescent="0.35">
      <c r="A787" s="1"/>
      <c r="B787" s="2"/>
    </row>
    <row r="788" spans="1:2" ht="15.75" customHeight="1" x14ac:dyDescent="0.35">
      <c r="A788" s="1"/>
      <c r="B788" s="2"/>
    </row>
    <row r="789" spans="1:2" ht="15.75" customHeight="1" x14ac:dyDescent="0.35">
      <c r="A789" s="1"/>
      <c r="B789" s="2"/>
    </row>
    <row r="790" spans="1:2" ht="15.75" customHeight="1" x14ac:dyDescent="0.35">
      <c r="A790" s="1"/>
      <c r="B790" s="2"/>
    </row>
    <row r="791" spans="1:2" ht="15.75" customHeight="1" x14ac:dyDescent="0.35">
      <c r="A791" s="1"/>
      <c r="B791" s="2"/>
    </row>
    <row r="792" spans="1:2" ht="15.75" customHeight="1" x14ac:dyDescent="0.35">
      <c r="A792" s="1"/>
      <c r="B792" s="2"/>
    </row>
    <row r="793" spans="1:2" ht="15.75" customHeight="1" x14ac:dyDescent="0.35">
      <c r="A793" s="1"/>
      <c r="B793" s="2"/>
    </row>
    <row r="794" spans="1:2" ht="15.75" customHeight="1" x14ac:dyDescent="0.35">
      <c r="A794" s="1"/>
      <c r="B794" s="2"/>
    </row>
    <row r="795" spans="1:2" ht="15.75" customHeight="1" x14ac:dyDescent="0.35">
      <c r="A795" s="1"/>
      <c r="B795" s="2"/>
    </row>
    <row r="796" spans="1:2" ht="15.75" customHeight="1" x14ac:dyDescent="0.35">
      <c r="A796" s="1"/>
      <c r="B796" s="2"/>
    </row>
    <row r="797" spans="1:2" ht="15.75" customHeight="1" x14ac:dyDescent="0.35">
      <c r="A797" s="1"/>
      <c r="B797" s="2"/>
    </row>
    <row r="798" spans="1:2" ht="15.75" customHeight="1" x14ac:dyDescent="0.35">
      <c r="A798" s="1"/>
      <c r="B798" s="2"/>
    </row>
    <row r="799" spans="1:2" ht="15.75" customHeight="1" x14ac:dyDescent="0.35">
      <c r="A799" s="1"/>
      <c r="B799" s="2"/>
    </row>
    <row r="800" spans="1:2" ht="15.75" customHeight="1" x14ac:dyDescent="0.35">
      <c r="A800" s="1"/>
      <c r="B800" s="2"/>
    </row>
    <row r="801" spans="1:2" ht="15.75" customHeight="1" x14ac:dyDescent="0.35">
      <c r="A801" s="1"/>
      <c r="B801" s="2"/>
    </row>
    <row r="802" spans="1:2" ht="15.75" customHeight="1" x14ac:dyDescent="0.35">
      <c r="A802" s="1"/>
      <c r="B802" s="2"/>
    </row>
    <row r="803" spans="1:2" ht="15.75" customHeight="1" x14ac:dyDescent="0.35">
      <c r="A803" s="1"/>
      <c r="B803" s="2"/>
    </row>
    <row r="804" spans="1:2" ht="15.75" customHeight="1" x14ac:dyDescent="0.35">
      <c r="A804" s="1"/>
      <c r="B804" s="2"/>
    </row>
    <row r="805" spans="1:2" ht="15.75" customHeight="1" x14ac:dyDescent="0.35">
      <c r="A805" s="1"/>
      <c r="B805" s="2"/>
    </row>
    <row r="806" spans="1:2" ht="15.75" customHeight="1" x14ac:dyDescent="0.35">
      <c r="A806" s="1"/>
      <c r="B806" s="2"/>
    </row>
    <row r="807" spans="1:2" ht="15.75" customHeight="1" x14ac:dyDescent="0.35">
      <c r="A807" s="1"/>
      <c r="B807" s="2"/>
    </row>
    <row r="808" spans="1:2" ht="15.75" customHeight="1" x14ac:dyDescent="0.35">
      <c r="A808" s="1"/>
      <c r="B808" s="2"/>
    </row>
    <row r="809" spans="1:2" ht="15.75" customHeight="1" x14ac:dyDescent="0.35">
      <c r="A809" s="1"/>
      <c r="B809" s="2"/>
    </row>
    <row r="810" spans="1:2" ht="15.75" customHeight="1" x14ac:dyDescent="0.35">
      <c r="A810" s="1"/>
      <c r="B810" s="2"/>
    </row>
    <row r="811" spans="1:2" ht="15.75" customHeight="1" x14ac:dyDescent="0.35">
      <c r="A811" s="1"/>
      <c r="B811" s="2"/>
    </row>
    <row r="812" spans="1:2" ht="15.75" customHeight="1" x14ac:dyDescent="0.35">
      <c r="A812" s="1"/>
      <c r="B812" s="2"/>
    </row>
    <row r="813" spans="1:2" ht="15.75" customHeight="1" x14ac:dyDescent="0.35">
      <c r="A813" s="1"/>
      <c r="B813" s="2"/>
    </row>
    <row r="814" spans="1:2" ht="15.75" customHeight="1" x14ac:dyDescent="0.35">
      <c r="A814" s="1"/>
      <c r="B814" s="2"/>
    </row>
    <row r="815" spans="1:2" ht="15.75" customHeight="1" x14ac:dyDescent="0.35">
      <c r="A815" s="1"/>
      <c r="B815" s="2"/>
    </row>
    <row r="816" spans="1:2" ht="15.75" customHeight="1" x14ac:dyDescent="0.35">
      <c r="A816" s="1"/>
      <c r="B816" s="2"/>
    </row>
    <row r="817" spans="1:2" ht="15.75" customHeight="1" x14ac:dyDescent="0.35">
      <c r="A817" s="1"/>
      <c r="B817" s="2"/>
    </row>
    <row r="818" spans="1:2" ht="15.75" customHeight="1" x14ac:dyDescent="0.35">
      <c r="A818" s="1"/>
      <c r="B818" s="2"/>
    </row>
    <row r="819" spans="1:2" ht="15.75" customHeight="1" x14ac:dyDescent="0.35">
      <c r="A819" s="1"/>
      <c r="B819" s="2"/>
    </row>
    <row r="820" spans="1:2" ht="15.75" customHeight="1" x14ac:dyDescent="0.35">
      <c r="A820" s="1"/>
      <c r="B820" s="2"/>
    </row>
    <row r="821" spans="1:2" ht="15.75" customHeight="1" x14ac:dyDescent="0.35">
      <c r="A821" s="1"/>
      <c r="B821" s="2"/>
    </row>
    <row r="822" spans="1:2" ht="15.75" customHeight="1" x14ac:dyDescent="0.35">
      <c r="A822" s="1"/>
      <c r="B822" s="2"/>
    </row>
    <row r="823" spans="1:2" ht="15.75" customHeight="1" x14ac:dyDescent="0.35">
      <c r="A823" s="1"/>
      <c r="B823" s="2"/>
    </row>
    <row r="824" spans="1:2" ht="15.75" customHeight="1" x14ac:dyDescent="0.35">
      <c r="A824" s="1"/>
      <c r="B824" s="2"/>
    </row>
    <row r="825" spans="1:2" ht="15.75" customHeight="1" x14ac:dyDescent="0.35">
      <c r="A825" s="1"/>
      <c r="B825" s="2"/>
    </row>
    <row r="826" spans="1:2" ht="15.75" customHeight="1" x14ac:dyDescent="0.35">
      <c r="A826" s="1"/>
      <c r="B826" s="2"/>
    </row>
    <row r="827" spans="1:2" ht="15.75" customHeight="1" x14ac:dyDescent="0.35">
      <c r="A827" s="1"/>
      <c r="B827" s="2"/>
    </row>
    <row r="828" spans="1:2" ht="15.75" customHeight="1" x14ac:dyDescent="0.35">
      <c r="A828" s="1"/>
      <c r="B828" s="2"/>
    </row>
    <row r="829" spans="1:2" ht="15.75" customHeight="1" x14ac:dyDescent="0.35">
      <c r="A829" s="1"/>
      <c r="B829" s="2"/>
    </row>
    <row r="830" spans="1:2" ht="15.75" customHeight="1" x14ac:dyDescent="0.35">
      <c r="A830" s="1"/>
      <c r="B830" s="2"/>
    </row>
    <row r="831" spans="1:2" ht="15.75" customHeight="1" x14ac:dyDescent="0.35">
      <c r="A831" s="1"/>
      <c r="B831" s="2"/>
    </row>
    <row r="832" spans="1:2" ht="15.75" customHeight="1" x14ac:dyDescent="0.35">
      <c r="A832" s="1"/>
      <c r="B832" s="2"/>
    </row>
    <row r="833" spans="1:2" ht="15.75" customHeight="1" x14ac:dyDescent="0.35">
      <c r="A833" s="1"/>
      <c r="B833" s="2"/>
    </row>
    <row r="834" spans="1:2" ht="15.75" customHeight="1" x14ac:dyDescent="0.35">
      <c r="A834" s="1"/>
      <c r="B834" s="2"/>
    </row>
    <row r="835" spans="1:2" ht="15.75" customHeight="1" x14ac:dyDescent="0.35">
      <c r="A835" s="1"/>
      <c r="B835" s="2"/>
    </row>
    <row r="836" spans="1:2" ht="15.75" customHeight="1" x14ac:dyDescent="0.35">
      <c r="A836" s="1"/>
      <c r="B836" s="2"/>
    </row>
    <row r="837" spans="1:2" ht="15.75" customHeight="1" x14ac:dyDescent="0.35">
      <c r="A837" s="1"/>
      <c r="B837" s="2"/>
    </row>
    <row r="838" spans="1:2" ht="15.75" customHeight="1" x14ac:dyDescent="0.35">
      <c r="A838" s="1"/>
      <c r="B838" s="2"/>
    </row>
    <row r="839" spans="1:2" ht="15.75" customHeight="1" x14ac:dyDescent="0.35">
      <c r="A839" s="1"/>
      <c r="B839" s="2"/>
    </row>
    <row r="840" spans="1:2" ht="15.75" customHeight="1" x14ac:dyDescent="0.35">
      <c r="A840" s="1"/>
      <c r="B840" s="2"/>
    </row>
    <row r="841" spans="1:2" ht="15.75" customHeight="1" x14ac:dyDescent="0.35">
      <c r="A841" s="1"/>
      <c r="B841" s="2"/>
    </row>
    <row r="842" spans="1:2" ht="15.75" customHeight="1" x14ac:dyDescent="0.35">
      <c r="A842" s="1"/>
      <c r="B842" s="2"/>
    </row>
    <row r="843" spans="1:2" ht="15.75" customHeight="1" x14ac:dyDescent="0.35">
      <c r="A843" s="1"/>
      <c r="B843" s="2"/>
    </row>
    <row r="844" spans="1:2" ht="15.75" customHeight="1" x14ac:dyDescent="0.35">
      <c r="A844" s="1"/>
      <c r="B844" s="2"/>
    </row>
    <row r="845" spans="1:2" ht="15.75" customHeight="1" x14ac:dyDescent="0.35">
      <c r="A845" s="1"/>
      <c r="B845" s="2"/>
    </row>
    <row r="846" spans="1:2" ht="15.75" customHeight="1" x14ac:dyDescent="0.35">
      <c r="A846" s="1"/>
      <c r="B846" s="2"/>
    </row>
    <row r="847" spans="1:2" ht="15.75" customHeight="1" x14ac:dyDescent="0.35">
      <c r="A847" s="1"/>
      <c r="B847" s="2"/>
    </row>
    <row r="848" spans="1:2" ht="15.75" customHeight="1" x14ac:dyDescent="0.35">
      <c r="A848" s="1"/>
      <c r="B848" s="2"/>
    </row>
    <row r="849" spans="1:2" ht="15.75" customHeight="1" x14ac:dyDescent="0.35">
      <c r="A849" s="1"/>
      <c r="B849" s="2"/>
    </row>
    <row r="850" spans="1:2" ht="15.75" customHeight="1" x14ac:dyDescent="0.35">
      <c r="A850" s="1"/>
      <c r="B850" s="2"/>
    </row>
    <row r="851" spans="1:2" ht="15.75" customHeight="1" x14ac:dyDescent="0.35">
      <c r="A851" s="1"/>
      <c r="B851" s="2"/>
    </row>
    <row r="852" spans="1:2" ht="15.75" customHeight="1" x14ac:dyDescent="0.35">
      <c r="A852" s="1"/>
      <c r="B852" s="2"/>
    </row>
    <row r="853" spans="1:2" ht="15.75" customHeight="1" x14ac:dyDescent="0.35">
      <c r="A853" s="1"/>
      <c r="B853" s="2"/>
    </row>
    <row r="854" spans="1:2" ht="15.75" customHeight="1" x14ac:dyDescent="0.35">
      <c r="A854" s="1"/>
      <c r="B854" s="2"/>
    </row>
    <row r="855" spans="1:2" ht="15.75" customHeight="1" x14ac:dyDescent="0.35">
      <c r="A855" s="1"/>
      <c r="B855" s="2"/>
    </row>
    <row r="856" spans="1:2" ht="15.75" customHeight="1" x14ac:dyDescent="0.35">
      <c r="A856" s="1"/>
      <c r="B856" s="2"/>
    </row>
    <row r="857" spans="1:2" ht="15.75" customHeight="1" x14ac:dyDescent="0.35">
      <c r="A857" s="1"/>
      <c r="B857" s="2"/>
    </row>
    <row r="858" spans="1:2" ht="15.75" customHeight="1" x14ac:dyDescent="0.35">
      <c r="A858" s="1"/>
      <c r="B858" s="2"/>
    </row>
    <row r="859" spans="1:2" ht="15.75" customHeight="1" x14ac:dyDescent="0.35">
      <c r="A859" s="1"/>
      <c r="B859" s="2"/>
    </row>
    <row r="860" spans="1:2" ht="15.75" customHeight="1" x14ac:dyDescent="0.35">
      <c r="A860" s="1"/>
      <c r="B860" s="2"/>
    </row>
    <row r="861" spans="1:2" ht="15.75" customHeight="1" x14ac:dyDescent="0.35">
      <c r="A861" s="1"/>
      <c r="B861" s="2"/>
    </row>
    <row r="862" spans="1:2" ht="15.75" customHeight="1" x14ac:dyDescent="0.35">
      <c r="A862" s="1"/>
      <c r="B862" s="2"/>
    </row>
    <row r="863" spans="1:2" ht="15.75" customHeight="1" x14ac:dyDescent="0.35">
      <c r="A863" s="1"/>
      <c r="B863" s="2"/>
    </row>
    <row r="864" spans="1:2" ht="15.75" customHeight="1" x14ac:dyDescent="0.35">
      <c r="A864" s="1"/>
      <c r="B864" s="2"/>
    </row>
    <row r="865" spans="1:2" ht="15.75" customHeight="1" x14ac:dyDescent="0.35">
      <c r="A865" s="1"/>
      <c r="B865" s="2"/>
    </row>
    <row r="866" spans="1:2" ht="15.75" customHeight="1" x14ac:dyDescent="0.35">
      <c r="A866" s="1"/>
      <c r="B866" s="2"/>
    </row>
    <row r="867" spans="1:2" ht="15.75" customHeight="1" x14ac:dyDescent="0.35">
      <c r="A867" s="1"/>
      <c r="B867" s="2"/>
    </row>
    <row r="868" spans="1:2" ht="15.75" customHeight="1" x14ac:dyDescent="0.35">
      <c r="A868" s="1"/>
      <c r="B868" s="2"/>
    </row>
    <row r="869" spans="1:2" ht="15.75" customHeight="1" x14ac:dyDescent="0.35">
      <c r="A869" s="1"/>
      <c r="B869" s="2"/>
    </row>
    <row r="870" spans="1:2" ht="15.75" customHeight="1" x14ac:dyDescent="0.35">
      <c r="A870" s="1"/>
      <c r="B870" s="2"/>
    </row>
    <row r="871" spans="1:2" ht="15.75" customHeight="1" x14ac:dyDescent="0.35">
      <c r="A871" s="1"/>
      <c r="B871" s="2"/>
    </row>
    <row r="872" spans="1:2" ht="15.75" customHeight="1" x14ac:dyDescent="0.35">
      <c r="A872" s="1"/>
      <c r="B872" s="2"/>
    </row>
    <row r="873" spans="1:2" ht="15.75" customHeight="1" x14ac:dyDescent="0.35">
      <c r="A873" s="1"/>
      <c r="B873" s="2"/>
    </row>
    <row r="874" spans="1:2" ht="15.75" customHeight="1" x14ac:dyDescent="0.35">
      <c r="A874" s="1"/>
      <c r="B874" s="2"/>
    </row>
    <row r="875" spans="1:2" ht="15.75" customHeight="1" x14ac:dyDescent="0.35">
      <c r="A875" s="1"/>
      <c r="B875" s="2"/>
    </row>
    <row r="876" spans="1:2" ht="15.75" customHeight="1" x14ac:dyDescent="0.35">
      <c r="A876" s="1"/>
      <c r="B876" s="2"/>
    </row>
    <row r="877" spans="1:2" ht="15.75" customHeight="1" x14ac:dyDescent="0.35">
      <c r="A877" s="1"/>
      <c r="B877" s="2"/>
    </row>
    <row r="878" spans="1:2" ht="15.75" customHeight="1" x14ac:dyDescent="0.35">
      <c r="A878" s="1"/>
      <c r="B878" s="2"/>
    </row>
    <row r="879" spans="1:2" ht="15.75" customHeight="1" x14ac:dyDescent="0.35">
      <c r="A879" s="1"/>
      <c r="B879" s="2"/>
    </row>
    <row r="880" spans="1:2" ht="15.75" customHeight="1" x14ac:dyDescent="0.35">
      <c r="A880" s="1"/>
      <c r="B880" s="2"/>
    </row>
    <row r="881" spans="1:2" ht="15.75" customHeight="1" x14ac:dyDescent="0.35">
      <c r="A881" s="1"/>
      <c r="B881" s="2"/>
    </row>
    <row r="882" spans="1:2" ht="15.75" customHeight="1" x14ac:dyDescent="0.35">
      <c r="A882" s="1"/>
      <c r="B882" s="2"/>
    </row>
    <row r="883" spans="1:2" ht="15.75" customHeight="1" x14ac:dyDescent="0.35">
      <c r="A883" s="1"/>
      <c r="B883" s="2"/>
    </row>
    <row r="884" spans="1:2" ht="15.75" customHeight="1" x14ac:dyDescent="0.35">
      <c r="A884" s="1"/>
      <c r="B884" s="2"/>
    </row>
    <row r="885" spans="1:2" ht="15.75" customHeight="1" x14ac:dyDescent="0.35">
      <c r="A885" s="1"/>
      <c r="B885" s="2"/>
    </row>
    <row r="886" spans="1:2" ht="15.75" customHeight="1" x14ac:dyDescent="0.35">
      <c r="A886" s="1"/>
      <c r="B886" s="2"/>
    </row>
    <row r="887" spans="1:2" ht="15.75" customHeight="1" x14ac:dyDescent="0.35">
      <c r="A887" s="1"/>
      <c r="B887" s="2"/>
    </row>
    <row r="888" spans="1:2" ht="15.75" customHeight="1" x14ac:dyDescent="0.35">
      <c r="A888" s="1"/>
      <c r="B888" s="2"/>
    </row>
    <row r="889" spans="1:2" ht="15.75" customHeight="1" x14ac:dyDescent="0.35">
      <c r="A889" s="1"/>
      <c r="B889" s="2"/>
    </row>
    <row r="890" spans="1:2" ht="15.75" customHeight="1" x14ac:dyDescent="0.35">
      <c r="A890" s="1"/>
      <c r="B890" s="2"/>
    </row>
    <row r="891" spans="1:2" ht="15.75" customHeight="1" x14ac:dyDescent="0.35">
      <c r="A891" s="1"/>
      <c r="B891" s="2"/>
    </row>
    <row r="892" spans="1:2" ht="15.75" customHeight="1" x14ac:dyDescent="0.35">
      <c r="A892" s="1"/>
      <c r="B892" s="2"/>
    </row>
    <row r="893" spans="1:2" ht="15.75" customHeight="1" x14ac:dyDescent="0.35">
      <c r="A893" s="1"/>
      <c r="B893" s="2"/>
    </row>
    <row r="894" spans="1:2" ht="15.75" customHeight="1" x14ac:dyDescent="0.35">
      <c r="A894" s="1"/>
      <c r="B894" s="2"/>
    </row>
    <row r="895" spans="1:2" ht="15.75" customHeight="1" x14ac:dyDescent="0.35">
      <c r="A895" s="1"/>
      <c r="B895" s="2"/>
    </row>
    <row r="896" spans="1:2" ht="15.75" customHeight="1" x14ac:dyDescent="0.35">
      <c r="A896" s="1"/>
      <c r="B896" s="2"/>
    </row>
    <row r="897" spans="1:2" ht="15.75" customHeight="1" x14ac:dyDescent="0.35">
      <c r="A897" s="1"/>
      <c r="B897" s="2"/>
    </row>
    <row r="898" spans="1:2" ht="15.75" customHeight="1" x14ac:dyDescent="0.35">
      <c r="A898" s="1"/>
      <c r="B898" s="2"/>
    </row>
    <row r="899" spans="1:2" ht="15.75" customHeight="1" x14ac:dyDescent="0.35">
      <c r="A899" s="1"/>
      <c r="B899" s="2"/>
    </row>
    <row r="900" spans="1:2" ht="15.75" customHeight="1" x14ac:dyDescent="0.35">
      <c r="A900" s="1"/>
      <c r="B900" s="2"/>
    </row>
    <row r="901" spans="1:2" ht="15.75" customHeight="1" x14ac:dyDescent="0.35">
      <c r="A901" s="1"/>
      <c r="B901" s="2"/>
    </row>
    <row r="902" spans="1:2" ht="15.75" customHeight="1" x14ac:dyDescent="0.35">
      <c r="A902" s="1"/>
      <c r="B902" s="2"/>
    </row>
    <row r="903" spans="1:2" ht="15.75" customHeight="1" x14ac:dyDescent="0.35">
      <c r="A903" s="1"/>
      <c r="B903" s="2"/>
    </row>
    <row r="904" spans="1:2" ht="15.75" customHeight="1" x14ac:dyDescent="0.35">
      <c r="A904" s="1"/>
      <c r="B904" s="2"/>
    </row>
    <row r="905" spans="1:2" ht="15.75" customHeight="1" x14ac:dyDescent="0.35">
      <c r="A905" s="1"/>
      <c r="B905" s="2"/>
    </row>
    <row r="906" spans="1:2" ht="15.75" customHeight="1" x14ac:dyDescent="0.35">
      <c r="A906" s="1"/>
      <c r="B906" s="2"/>
    </row>
    <row r="907" spans="1:2" ht="15.75" customHeight="1" x14ac:dyDescent="0.35">
      <c r="A907" s="1"/>
      <c r="B907" s="2"/>
    </row>
    <row r="908" spans="1:2" ht="15.75" customHeight="1" x14ac:dyDescent="0.35">
      <c r="A908" s="1"/>
      <c r="B908" s="2"/>
    </row>
    <row r="909" spans="1:2" ht="15.75" customHeight="1" x14ac:dyDescent="0.35">
      <c r="A909" s="1"/>
      <c r="B909" s="2"/>
    </row>
    <row r="910" spans="1:2" ht="15.75" customHeight="1" x14ac:dyDescent="0.35">
      <c r="A910" s="1"/>
      <c r="B910" s="2"/>
    </row>
    <row r="911" spans="1:2" ht="15.75" customHeight="1" x14ac:dyDescent="0.35">
      <c r="A911" s="1"/>
      <c r="B911" s="2"/>
    </row>
    <row r="912" spans="1:2" ht="15.75" customHeight="1" x14ac:dyDescent="0.35">
      <c r="A912" s="1"/>
      <c r="B912" s="2"/>
    </row>
    <row r="913" spans="1:2" ht="15.75" customHeight="1" x14ac:dyDescent="0.35">
      <c r="A913" s="1"/>
      <c r="B913" s="2"/>
    </row>
    <row r="914" spans="1:2" ht="15.75" customHeight="1" x14ac:dyDescent="0.35">
      <c r="A914" s="1"/>
      <c r="B914" s="2"/>
    </row>
    <row r="915" spans="1:2" ht="15.75" customHeight="1" x14ac:dyDescent="0.35">
      <c r="A915" s="1"/>
      <c r="B915" s="2"/>
    </row>
    <row r="916" spans="1:2" ht="15.75" customHeight="1" x14ac:dyDescent="0.35">
      <c r="A916" s="1"/>
      <c r="B916" s="2"/>
    </row>
    <row r="917" spans="1:2" ht="15.75" customHeight="1" x14ac:dyDescent="0.35">
      <c r="A917" s="1"/>
      <c r="B917" s="2"/>
    </row>
    <row r="918" spans="1:2" ht="15.75" customHeight="1" x14ac:dyDescent="0.35">
      <c r="A918" s="1"/>
      <c r="B918" s="2"/>
    </row>
    <row r="919" spans="1:2" ht="15.75" customHeight="1" x14ac:dyDescent="0.35">
      <c r="A919" s="1"/>
      <c r="B919" s="2"/>
    </row>
    <row r="920" spans="1:2" ht="15.75" customHeight="1" x14ac:dyDescent="0.35">
      <c r="A920" s="1"/>
      <c r="B920" s="2"/>
    </row>
    <row r="921" spans="1:2" ht="15.75" customHeight="1" x14ac:dyDescent="0.35">
      <c r="A921" s="1"/>
      <c r="B921" s="2"/>
    </row>
    <row r="922" spans="1:2" ht="15.75" customHeight="1" x14ac:dyDescent="0.35">
      <c r="A922" s="1"/>
      <c r="B922" s="2"/>
    </row>
    <row r="923" spans="1:2" ht="15.75" customHeight="1" x14ac:dyDescent="0.35">
      <c r="A923" s="1"/>
      <c r="B923" s="2"/>
    </row>
    <row r="924" spans="1:2" ht="15.75" customHeight="1" x14ac:dyDescent="0.35">
      <c r="A924" s="1"/>
      <c r="B924" s="2"/>
    </row>
    <row r="925" spans="1:2" ht="15.75" customHeight="1" x14ac:dyDescent="0.35">
      <c r="A925" s="1"/>
      <c r="B925" s="2"/>
    </row>
    <row r="926" spans="1:2" ht="15.75" customHeight="1" x14ac:dyDescent="0.35">
      <c r="A926" s="1"/>
      <c r="B926" s="2"/>
    </row>
    <row r="927" spans="1:2" ht="15.75" customHeight="1" x14ac:dyDescent="0.35">
      <c r="A927" s="1"/>
      <c r="B927" s="2"/>
    </row>
    <row r="928" spans="1:2" ht="15.75" customHeight="1" x14ac:dyDescent="0.35">
      <c r="A928" s="1"/>
      <c r="B928" s="2"/>
    </row>
    <row r="929" spans="1:2" ht="15.75" customHeight="1" x14ac:dyDescent="0.35">
      <c r="A929" s="1"/>
      <c r="B929" s="2"/>
    </row>
    <row r="930" spans="1:2" ht="15.75" customHeight="1" x14ac:dyDescent="0.35">
      <c r="A930" s="1"/>
      <c r="B930" s="2"/>
    </row>
    <row r="931" spans="1:2" ht="15.75" customHeight="1" x14ac:dyDescent="0.35">
      <c r="A931" s="1"/>
      <c r="B931" s="2"/>
    </row>
    <row r="932" spans="1:2" ht="15.75" customHeight="1" x14ac:dyDescent="0.35">
      <c r="A932" s="1"/>
      <c r="B932" s="2"/>
    </row>
    <row r="933" spans="1:2" ht="15.75" customHeight="1" x14ac:dyDescent="0.35">
      <c r="A933" s="1"/>
      <c r="B933" s="2"/>
    </row>
    <row r="934" spans="1:2" ht="15.75" customHeight="1" x14ac:dyDescent="0.35">
      <c r="A934" s="1"/>
      <c r="B934" s="2"/>
    </row>
    <row r="935" spans="1:2" ht="15.75" customHeight="1" x14ac:dyDescent="0.35">
      <c r="A935" s="1"/>
      <c r="B935" s="2"/>
    </row>
    <row r="936" spans="1:2" ht="15.75" customHeight="1" x14ac:dyDescent="0.35">
      <c r="A936" s="1"/>
      <c r="B936" s="2"/>
    </row>
    <row r="937" spans="1:2" ht="15.75" customHeight="1" x14ac:dyDescent="0.35">
      <c r="A937" s="1"/>
      <c r="B937" s="2"/>
    </row>
    <row r="938" spans="1:2" ht="15.75" customHeight="1" x14ac:dyDescent="0.35">
      <c r="A938" s="1"/>
      <c r="B938" s="2"/>
    </row>
    <row r="939" spans="1:2" ht="15.75" customHeight="1" x14ac:dyDescent="0.35">
      <c r="A939" s="1"/>
      <c r="B939" s="2"/>
    </row>
    <row r="940" spans="1:2" ht="15.75" customHeight="1" x14ac:dyDescent="0.35">
      <c r="A940" s="1"/>
      <c r="B940" s="2"/>
    </row>
    <row r="941" spans="1:2" ht="15.75" customHeight="1" x14ac:dyDescent="0.35">
      <c r="A941" s="1"/>
      <c r="B941" s="2"/>
    </row>
    <row r="942" spans="1:2" ht="15.75" customHeight="1" x14ac:dyDescent="0.35">
      <c r="A942" s="1"/>
      <c r="B942" s="2"/>
    </row>
    <row r="943" spans="1:2" ht="15.75" customHeight="1" x14ac:dyDescent="0.35">
      <c r="A943" s="1"/>
      <c r="B943" s="2"/>
    </row>
    <row r="944" spans="1:2" ht="15.75" customHeight="1" x14ac:dyDescent="0.35">
      <c r="A944" s="1"/>
      <c r="B944" s="2"/>
    </row>
    <row r="945" spans="1:2" ht="15.75" customHeight="1" x14ac:dyDescent="0.35">
      <c r="A945" s="1"/>
      <c r="B945" s="2"/>
    </row>
    <row r="946" spans="1:2" ht="15.75" customHeight="1" x14ac:dyDescent="0.35">
      <c r="A946" s="1"/>
      <c r="B946" s="2"/>
    </row>
    <row r="947" spans="1:2" ht="15.75" customHeight="1" x14ac:dyDescent="0.35">
      <c r="A947" s="1"/>
      <c r="B947" s="2"/>
    </row>
    <row r="948" spans="1:2" ht="15.75" customHeight="1" x14ac:dyDescent="0.35">
      <c r="A948" s="1"/>
      <c r="B948" s="2"/>
    </row>
    <row r="949" spans="1:2" ht="15.75" customHeight="1" x14ac:dyDescent="0.35">
      <c r="A949" s="1"/>
      <c r="B949" s="2"/>
    </row>
    <row r="950" spans="1:2" ht="15.75" customHeight="1" x14ac:dyDescent="0.35">
      <c r="A950" s="1"/>
      <c r="B950" s="2"/>
    </row>
    <row r="951" spans="1:2" ht="15.75" customHeight="1" x14ac:dyDescent="0.35">
      <c r="A951" s="1"/>
      <c r="B951" s="2"/>
    </row>
    <row r="952" spans="1:2" ht="15.75" customHeight="1" x14ac:dyDescent="0.35">
      <c r="A952" s="1"/>
      <c r="B952" s="2"/>
    </row>
    <row r="953" spans="1:2" ht="15.75" customHeight="1" x14ac:dyDescent="0.35">
      <c r="A953" s="1"/>
      <c r="B953" s="2"/>
    </row>
    <row r="954" spans="1:2" ht="15.75" customHeight="1" x14ac:dyDescent="0.35">
      <c r="A954" s="1"/>
      <c r="B954" s="2"/>
    </row>
    <row r="955" spans="1:2" ht="15.75" customHeight="1" x14ac:dyDescent="0.35">
      <c r="A955" s="1"/>
      <c r="B955" s="2"/>
    </row>
    <row r="956" spans="1:2" ht="15.75" customHeight="1" x14ac:dyDescent="0.35">
      <c r="A956" s="1"/>
      <c r="B956" s="2"/>
    </row>
    <row r="957" spans="1:2" ht="15.75" customHeight="1" x14ac:dyDescent="0.35">
      <c r="A957" s="1"/>
      <c r="B957" s="2"/>
    </row>
    <row r="958" spans="1:2" ht="15.75" customHeight="1" x14ac:dyDescent="0.35">
      <c r="A958" s="1"/>
      <c r="B958" s="2"/>
    </row>
    <row r="959" spans="1:2" ht="15.75" customHeight="1" x14ac:dyDescent="0.35">
      <c r="A959" s="1"/>
      <c r="B959" s="2"/>
    </row>
    <row r="960" spans="1:2" ht="15.75" customHeight="1" x14ac:dyDescent="0.35">
      <c r="A960" s="1"/>
      <c r="B960" s="2"/>
    </row>
    <row r="961" spans="1:2" ht="15.75" customHeight="1" x14ac:dyDescent="0.35">
      <c r="A961" s="1"/>
      <c r="B961" s="2"/>
    </row>
    <row r="962" spans="1:2" ht="15.75" customHeight="1" x14ac:dyDescent="0.35">
      <c r="A962" s="1"/>
      <c r="B962" s="2"/>
    </row>
    <row r="963" spans="1:2" ht="15.75" customHeight="1" x14ac:dyDescent="0.35">
      <c r="A963" s="1"/>
      <c r="B963" s="2"/>
    </row>
    <row r="964" spans="1:2" ht="15.75" customHeight="1" x14ac:dyDescent="0.35">
      <c r="A964" s="1"/>
      <c r="B964" s="2"/>
    </row>
    <row r="965" spans="1:2" ht="15.75" customHeight="1" x14ac:dyDescent="0.35">
      <c r="A965" s="1"/>
      <c r="B965" s="2"/>
    </row>
    <row r="966" spans="1:2" ht="15.75" customHeight="1" x14ac:dyDescent="0.35">
      <c r="A966" s="1"/>
      <c r="B966" s="2"/>
    </row>
    <row r="967" spans="1:2" ht="15.75" customHeight="1" x14ac:dyDescent="0.35">
      <c r="A967" s="1"/>
      <c r="B967" s="2"/>
    </row>
    <row r="968" spans="1:2" ht="15.75" customHeight="1" x14ac:dyDescent="0.35">
      <c r="A968" s="1"/>
      <c r="B968" s="2"/>
    </row>
    <row r="969" spans="1:2" ht="15.75" customHeight="1" x14ac:dyDescent="0.35">
      <c r="A969" s="1"/>
      <c r="B969" s="2"/>
    </row>
    <row r="970" spans="1:2" ht="15.75" customHeight="1" x14ac:dyDescent="0.35">
      <c r="A970" s="1"/>
      <c r="B970" s="2"/>
    </row>
    <row r="971" spans="1:2" ht="15.75" customHeight="1" x14ac:dyDescent="0.35">
      <c r="A971" s="1"/>
      <c r="B971" s="2"/>
    </row>
    <row r="972" spans="1:2" ht="15.75" customHeight="1" x14ac:dyDescent="0.35">
      <c r="A972" s="1"/>
      <c r="B972" s="2"/>
    </row>
    <row r="973" spans="1:2" ht="15.75" customHeight="1" x14ac:dyDescent="0.35">
      <c r="A973" s="1"/>
      <c r="B973" s="2"/>
    </row>
    <row r="974" spans="1:2" ht="15.75" customHeight="1" x14ac:dyDescent="0.35">
      <c r="A974" s="1"/>
      <c r="B974" s="2"/>
    </row>
    <row r="975" spans="1:2" ht="15.75" customHeight="1" x14ac:dyDescent="0.35">
      <c r="A975" s="1"/>
      <c r="B975" s="2"/>
    </row>
    <row r="976" spans="1:2" ht="15.75" customHeight="1" x14ac:dyDescent="0.35">
      <c r="A976" s="1"/>
      <c r="B976" s="2"/>
    </row>
    <row r="977" spans="1:2" ht="15.75" customHeight="1" x14ac:dyDescent="0.35">
      <c r="A977" s="1"/>
      <c r="B977" s="2"/>
    </row>
    <row r="978" spans="1:2" ht="15.75" customHeight="1" x14ac:dyDescent="0.35">
      <c r="A978" s="1"/>
      <c r="B978" s="2"/>
    </row>
  </sheetData>
  <mergeCells count="1">
    <mergeCell ref="A2:B2"/>
  </mergeCells>
  <dataValidations count="2">
    <dataValidation type="date" operator="greaterThan" allowBlank="1" showErrorMessage="1" sqref="B5" xr:uid="{00000000-0002-0000-0000-000000000000}">
      <formula1>1</formula1>
    </dataValidation>
    <dataValidation type="decimal" operator="greaterThan" allowBlank="1" showErrorMessage="1" sqref="B6" xr:uid="{00000000-0002-0000-0000-000001000000}">
      <formula1>0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0"/>
  <sheetViews>
    <sheetView workbookViewId="0"/>
  </sheetViews>
  <sheetFormatPr defaultColWidth="11.25" defaultRowHeight="15" customHeight="1" x14ac:dyDescent="0.35"/>
  <cols>
    <col min="1" max="1" width="23.25" customWidth="1"/>
    <col min="2" max="2" width="5.08203125" customWidth="1"/>
    <col min="3" max="3" width="5.6640625" customWidth="1"/>
    <col min="4" max="4" width="18.08203125" customWidth="1"/>
    <col min="5" max="6" width="5.08203125" customWidth="1"/>
    <col min="7" max="7" width="14.08203125" customWidth="1"/>
    <col min="8" max="8" width="1.9140625" customWidth="1"/>
    <col min="9" max="9" width="5.08203125" customWidth="1"/>
    <col min="10" max="10" width="12.25" customWidth="1"/>
    <col min="11" max="11" width="1.9140625" customWidth="1"/>
    <col min="12" max="12" width="5.08203125" customWidth="1"/>
    <col min="13" max="13" width="12.25" customWidth="1"/>
    <col min="14" max="26" width="5.08203125" customWidth="1"/>
  </cols>
  <sheetData>
    <row r="1" spans="1:5" ht="15.75" customHeight="1" x14ac:dyDescent="0.35"/>
    <row r="2" spans="1:5" ht="15.75" customHeight="1" x14ac:dyDescent="0.35"/>
    <row r="3" spans="1:5" ht="15.75" customHeight="1" x14ac:dyDescent="0.35">
      <c r="A3" s="8" t="s">
        <v>5</v>
      </c>
      <c r="D3" s="88" t="s">
        <v>6</v>
      </c>
      <c r="E3" s="87"/>
    </row>
    <row r="4" spans="1:5" ht="15.75" customHeight="1" x14ac:dyDescent="0.35">
      <c r="A4" s="9" t="s">
        <v>7</v>
      </c>
      <c r="C4" s="10"/>
      <c r="D4" s="11" t="s">
        <v>8</v>
      </c>
      <c r="E4" s="12"/>
    </row>
    <row r="5" spans="1:5" ht="15.75" customHeight="1" x14ac:dyDescent="0.35">
      <c r="A5" s="13" t="s">
        <v>9</v>
      </c>
      <c r="C5" s="10"/>
      <c r="D5" s="89" t="s">
        <v>10</v>
      </c>
      <c r="E5" s="87"/>
    </row>
    <row r="6" spans="1:5" ht="15.75" customHeight="1" x14ac:dyDescent="0.35">
      <c r="A6" s="14" t="s">
        <v>11</v>
      </c>
      <c r="C6" s="10"/>
      <c r="D6" s="12" t="s">
        <v>12</v>
      </c>
      <c r="E6" s="12"/>
    </row>
    <row r="7" spans="1:5" ht="15.75" customHeight="1" x14ac:dyDescent="0.35">
      <c r="A7" s="15" t="s">
        <v>13</v>
      </c>
      <c r="C7" s="10"/>
      <c r="D7" s="12" t="s">
        <v>14</v>
      </c>
      <c r="E7" s="12"/>
    </row>
    <row r="8" spans="1:5" ht="15.75" customHeight="1" x14ac:dyDescent="0.35">
      <c r="A8" s="13" t="s">
        <v>15</v>
      </c>
      <c r="C8" s="16"/>
      <c r="D8" s="12" t="s">
        <v>16</v>
      </c>
      <c r="E8" s="12"/>
    </row>
    <row r="9" spans="1:5" ht="15.75" customHeight="1" x14ac:dyDescent="0.35">
      <c r="A9" s="13" t="s">
        <v>17</v>
      </c>
      <c r="C9" s="16"/>
      <c r="D9" s="17" t="s">
        <v>18</v>
      </c>
      <c r="E9" s="12"/>
    </row>
    <row r="10" spans="1:5" ht="15.75" customHeight="1" x14ac:dyDescent="0.35">
      <c r="A10" s="14" t="s">
        <v>19</v>
      </c>
      <c r="C10" s="16"/>
      <c r="D10" s="90" t="s">
        <v>20</v>
      </c>
      <c r="E10" s="87"/>
    </row>
    <row r="11" spans="1:5" ht="15.75" customHeight="1" x14ac:dyDescent="0.35">
      <c r="A11" s="18" t="s">
        <v>21</v>
      </c>
      <c r="C11" s="10"/>
      <c r="D11" s="17" t="s">
        <v>22</v>
      </c>
      <c r="E11" s="12"/>
    </row>
    <row r="12" spans="1:5" ht="15.75" customHeight="1" x14ac:dyDescent="0.35">
      <c r="A12" s="13" t="s">
        <v>23</v>
      </c>
      <c r="C12" s="10"/>
      <c r="D12" s="19" t="s">
        <v>24</v>
      </c>
      <c r="E12" s="12"/>
    </row>
    <row r="13" spans="1:5" ht="15.75" customHeight="1" x14ac:dyDescent="0.35">
      <c r="A13" s="14" t="s">
        <v>25</v>
      </c>
      <c r="C13" s="10"/>
      <c r="D13" s="10"/>
    </row>
    <row r="14" spans="1:5" ht="15.75" customHeight="1" x14ac:dyDescent="0.35">
      <c r="A14" s="13" t="s">
        <v>26</v>
      </c>
      <c r="C14" s="10"/>
      <c r="D14" s="10"/>
    </row>
    <row r="15" spans="1:5" ht="15.75" customHeight="1" x14ac:dyDescent="0.35">
      <c r="A15" s="14" t="s">
        <v>19</v>
      </c>
      <c r="D15" s="10"/>
    </row>
    <row r="16" spans="1:5" ht="15.75" customHeight="1" x14ac:dyDescent="0.35">
      <c r="A16" s="13"/>
    </row>
    <row r="17" spans="1:5" ht="15.75" customHeight="1" x14ac:dyDescent="0.35">
      <c r="D17" s="91" t="s">
        <v>27</v>
      </c>
      <c r="E17" s="87"/>
    </row>
    <row r="18" spans="1:5" ht="15.75" customHeight="1" x14ac:dyDescent="0.35">
      <c r="D18" s="20" t="s">
        <v>28</v>
      </c>
      <c r="E18" s="12"/>
    </row>
    <row r="19" spans="1:5" ht="15.75" customHeight="1" x14ac:dyDescent="0.35">
      <c r="D19" s="20" t="s">
        <v>29</v>
      </c>
      <c r="E19" s="12"/>
    </row>
    <row r="20" spans="1:5" ht="15.75" customHeight="1" x14ac:dyDescent="0.35">
      <c r="D20" s="20" t="s">
        <v>30</v>
      </c>
      <c r="E20" s="12"/>
    </row>
    <row r="21" spans="1:5" ht="15.75" customHeight="1" x14ac:dyDescent="0.35">
      <c r="C21" s="21"/>
      <c r="D21" s="20" t="s">
        <v>31</v>
      </c>
      <c r="E21" s="12"/>
    </row>
    <row r="22" spans="1:5" ht="15.75" customHeight="1" x14ac:dyDescent="0.35">
      <c r="C22" s="22"/>
      <c r="D22" s="20" t="s">
        <v>32</v>
      </c>
      <c r="E22" s="12"/>
    </row>
    <row r="23" spans="1:5" ht="15.75" customHeight="1" x14ac:dyDescent="0.35">
      <c r="A23" s="23" t="s">
        <v>33</v>
      </c>
      <c r="C23" s="24"/>
      <c r="D23" s="20" t="s">
        <v>34</v>
      </c>
      <c r="E23" s="12"/>
    </row>
    <row r="24" spans="1:5" ht="15.75" customHeight="1" x14ac:dyDescent="0.35">
      <c r="C24" s="24"/>
      <c r="D24" s="20" t="s">
        <v>35</v>
      </c>
      <c r="E24" s="12"/>
    </row>
    <row r="25" spans="1:5" ht="15.75" customHeight="1" x14ac:dyDescent="0.35">
      <c r="D25" s="25" t="s">
        <v>36</v>
      </c>
      <c r="E25" s="12"/>
    </row>
    <row r="26" spans="1:5" ht="15.75" customHeight="1" x14ac:dyDescent="0.35">
      <c r="D26" s="25" t="s">
        <v>37</v>
      </c>
      <c r="E26" s="12"/>
    </row>
    <row r="27" spans="1:5" ht="15.75" customHeight="1" x14ac:dyDescent="0.35">
      <c r="D27" s="25" t="s">
        <v>38</v>
      </c>
      <c r="E27" s="12"/>
    </row>
    <row r="28" spans="1:5" ht="15.75" customHeight="1" x14ac:dyDescent="0.35">
      <c r="D28" s="25" t="s">
        <v>39</v>
      </c>
      <c r="E28" s="12"/>
    </row>
    <row r="29" spans="1:5" ht="15.75" customHeight="1" x14ac:dyDescent="0.35">
      <c r="D29" s="25" t="s">
        <v>40</v>
      </c>
      <c r="E29" s="12"/>
    </row>
    <row r="30" spans="1:5" ht="15.75" customHeight="1" x14ac:dyDescent="0.35">
      <c r="D30" s="25" t="s">
        <v>41</v>
      </c>
      <c r="E30" s="12"/>
    </row>
    <row r="31" spans="1:5" ht="15.75" customHeight="1" x14ac:dyDescent="0.35">
      <c r="D31" s="20" t="s">
        <v>42</v>
      </c>
      <c r="E31" s="12"/>
    </row>
    <row r="32" spans="1:5" ht="15.75" customHeight="1" x14ac:dyDescent="0.35">
      <c r="D32" s="20" t="s">
        <v>43</v>
      </c>
      <c r="E32" s="12"/>
    </row>
    <row r="33" spans="1:14" ht="15.75" customHeight="1" x14ac:dyDescent="0.35">
      <c r="D33" s="20" t="s">
        <v>44</v>
      </c>
      <c r="E33" s="12"/>
    </row>
    <row r="34" spans="1:14" ht="15.75" customHeight="1" x14ac:dyDescent="0.35">
      <c r="D34" s="26"/>
      <c r="G34" s="92" t="s">
        <v>45</v>
      </c>
      <c r="H34" s="87"/>
      <c r="J34" s="92" t="s">
        <v>46</v>
      </c>
      <c r="K34" s="87"/>
      <c r="M34" s="92" t="s">
        <v>47</v>
      </c>
      <c r="N34" s="87"/>
    </row>
    <row r="35" spans="1:14" ht="22.5" customHeight="1" x14ac:dyDescent="0.35">
      <c r="B35" s="23" t="s">
        <v>48</v>
      </c>
      <c r="D35" s="26"/>
      <c r="G35" s="27" t="s">
        <v>49</v>
      </c>
      <c r="H35" s="12"/>
      <c r="J35" s="27" t="s">
        <v>50</v>
      </c>
      <c r="K35" s="12"/>
      <c r="M35" s="28" t="s">
        <v>51</v>
      </c>
      <c r="N35" s="12"/>
    </row>
    <row r="36" spans="1:14" ht="22.5" customHeight="1" x14ac:dyDescent="0.35">
      <c r="D36" s="26"/>
      <c r="G36" s="27" t="s">
        <v>52</v>
      </c>
      <c r="H36" s="12"/>
      <c r="J36" s="27" t="s">
        <v>52</v>
      </c>
      <c r="K36" s="12"/>
      <c r="M36" s="28" t="s">
        <v>53</v>
      </c>
      <c r="N36" s="12"/>
    </row>
    <row r="37" spans="1:14" ht="22.5" customHeight="1" x14ac:dyDescent="0.35">
      <c r="D37" s="26"/>
      <c r="G37" s="27" t="s">
        <v>54</v>
      </c>
      <c r="H37" s="12"/>
      <c r="J37" s="27" t="s">
        <v>54</v>
      </c>
      <c r="K37" s="12"/>
      <c r="M37" s="28" t="s">
        <v>55</v>
      </c>
      <c r="N37" s="12"/>
    </row>
    <row r="38" spans="1:14" ht="21.75" customHeight="1" x14ac:dyDescent="0.35">
      <c r="D38" s="26"/>
      <c r="G38" s="27" t="s">
        <v>56</v>
      </c>
      <c r="H38" s="12"/>
      <c r="J38" s="27" t="s">
        <v>56</v>
      </c>
      <c r="K38" s="12"/>
      <c r="M38" s="28" t="s">
        <v>57</v>
      </c>
      <c r="N38" s="12"/>
    </row>
    <row r="39" spans="1:14" ht="22.5" customHeight="1" x14ac:dyDescent="0.35">
      <c r="D39" s="29"/>
      <c r="G39" s="27" t="s">
        <v>58</v>
      </c>
      <c r="H39" s="12"/>
      <c r="J39" s="27" t="s">
        <v>59</v>
      </c>
      <c r="K39" s="12"/>
      <c r="M39" s="28" t="s">
        <v>60</v>
      </c>
      <c r="N39" s="12"/>
    </row>
    <row r="40" spans="1:14" ht="33" customHeight="1" x14ac:dyDescent="0.35">
      <c r="D40" s="29"/>
    </row>
    <row r="41" spans="1:14" ht="18.75" customHeight="1" x14ac:dyDescent="0.35">
      <c r="A41" s="30" t="s">
        <v>61</v>
      </c>
      <c r="B41" s="23" t="s">
        <v>48</v>
      </c>
      <c r="D41" s="29"/>
    </row>
    <row r="42" spans="1:14" ht="28.5" customHeight="1" x14ac:dyDescent="0.35">
      <c r="A42" s="28" t="s">
        <v>62</v>
      </c>
      <c r="D42" s="29"/>
    </row>
    <row r="43" spans="1:14" ht="22.5" customHeight="1" x14ac:dyDescent="0.35">
      <c r="A43" s="28" t="s">
        <v>63</v>
      </c>
    </row>
    <row r="44" spans="1:14" ht="22.5" customHeight="1" x14ac:dyDescent="0.35">
      <c r="A44" s="28" t="s">
        <v>64</v>
      </c>
      <c r="D44" s="31" t="s">
        <v>65</v>
      </c>
    </row>
    <row r="45" spans="1:14" ht="21.75" customHeight="1" x14ac:dyDescent="0.35">
      <c r="A45" s="28" t="s">
        <v>66</v>
      </c>
      <c r="D45" s="32" t="s">
        <v>67</v>
      </c>
      <c r="E45" s="33"/>
    </row>
    <row r="46" spans="1:14" ht="15.75" customHeight="1" x14ac:dyDescent="0.35">
      <c r="A46" s="28" t="s">
        <v>68</v>
      </c>
      <c r="D46" s="32" t="s">
        <v>69</v>
      </c>
      <c r="E46" s="12"/>
    </row>
    <row r="47" spans="1:14" ht="15.75" customHeight="1" x14ac:dyDescent="0.35">
      <c r="A47" s="34" t="s">
        <v>70</v>
      </c>
      <c r="D47" s="32" t="s">
        <v>71</v>
      </c>
      <c r="E47" s="12"/>
    </row>
    <row r="48" spans="1:14" ht="15.75" customHeight="1" x14ac:dyDescent="0.35">
      <c r="A48" s="35" t="s">
        <v>72</v>
      </c>
      <c r="D48" s="32" t="s">
        <v>73</v>
      </c>
      <c r="E48" s="12"/>
    </row>
    <row r="49" spans="1:5" ht="19.5" customHeight="1" x14ac:dyDescent="0.35">
      <c r="A49" s="36" t="s">
        <v>74</v>
      </c>
      <c r="D49" s="26"/>
      <c r="E49" s="12"/>
    </row>
    <row r="50" spans="1:5" ht="18.75" customHeight="1" x14ac:dyDescent="0.35">
      <c r="A50" s="37" t="s">
        <v>75</v>
      </c>
      <c r="D50" s="26"/>
    </row>
    <row r="51" spans="1:5" ht="15.75" customHeight="1" x14ac:dyDescent="0.35">
      <c r="A51" s="38" t="s">
        <v>76</v>
      </c>
      <c r="D51" s="26"/>
    </row>
    <row r="52" spans="1:5" ht="16.5" customHeight="1" x14ac:dyDescent="0.35">
      <c r="A52" s="38" t="s">
        <v>77</v>
      </c>
      <c r="D52" s="26"/>
    </row>
    <row r="53" spans="1:5" ht="16.5" customHeight="1" x14ac:dyDescent="0.35">
      <c r="D53" s="26"/>
    </row>
    <row r="54" spans="1:5" ht="15.75" customHeight="1" x14ac:dyDescent="0.35">
      <c r="D54" s="29"/>
    </row>
    <row r="55" spans="1:5" ht="15.75" customHeight="1" x14ac:dyDescent="0.35">
      <c r="D55" s="29"/>
    </row>
    <row r="56" spans="1:5" ht="15.75" customHeight="1" x14ac:dyDescent="0.35">
      <c r="D56" s="26"/>
    </row>
    <row r="57" spans="1:5" ht="15.75" customHeight="1" x14ac:dyDescent="0.35">
      <c r="D57" s="26"/>
    </row>
    <row r="58" spans="1:5" ht="15.75" customHeight="1" x14ac:dyDescent="0.35"/>
    <row r="59" spans="1:5" ht="15.75" customHeight="1" x14ac:dyDescent="0.35"/>
    <row r="60" spans="1:5" ht="15.75" customHeight="1" x14ac:dyDescent="0.35"/>
    <row r="61" spans="1:5" ht="15.75" customHeight="1" x14ac:dyDescent="0.35"/>
    <row r="62" spans="1:5" ht="15.75" customHeight="1" x14ac:dyDescent="0.35"/>
    <row r="63" spans="1:5" ht="15.75" customHeight="1" x14ac:dyDescent="0.35"/>
    <row r="64" spans="1:5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7">
    <mergeCell ref="J34:K34"/>
    <mergeCell ref="M34:N34"/>
    <mergeCell ref="D3:E3"/>
    <mergeCell ref="D5:E5"/>
    <mergeCell ref="D10:E10"/>
    <mergeCell ref="D17:E17"/>
    <mergeCell ref="G34:H34"/>
  </mergeCell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EEAF6"/>
  </sheetPr>
  <dimension ref="A1:W36"/>
  <sheetViews>
    <sheetView workbookViewId="0">
      <selection activeCell="E24" sqref="E24"/>
    </sheetView>
  </sheetViews>
  <sheetFormatPr defaultColWidth="11.25" defaultRowHeight="15" customHeight="1" x14ac:dyDescent="0.35"/>
  <cols>
    <col min="1" max="1" width="2" customWidth="1"/>
    <col min="2" max="2" width="11.08203125" customWidth="1"/>
    <col min="3" max="23" width="7.75" customWidth="1"/>
  </cols>
  <sheetData>
    <row r="1" spans="1:23" ht="18.5" x14ac:dyDescent="0.35">
      <c r="A1" s="39"/>
      <c r="B1" s="93" t="s">
        <v>78</v>
      </c>
      <c r="C1" s="94"/>
      <c r="D1" s="94"/>
      <c r="E1" s="94"/>
      <c r="F1" s="94"/>
      <c r="G1" s="94"/>
      <c r="H1" s="94"/>
      <c r="I1" s="94"/>
      <c r="J1" s="87"/>
      <c r="K1" s="40"/>
      <c r="L1" s="40"/>
      <c r="M1" s="40"/>
      <c r="N1" s="40"/>
      <c r="O1" s="39"/>
      <c r="P1" s="39"/>
      <c r="Q1" s="39"/>
      <c r="R1" s="39"/>
      <c r="S1" s="39"/>
      <c r="T1" s="39"/>
      <c r="U1" s="39"/>
      <c r="V1" s="39"/>
      <c r="W1" s="39"/>
    </row>
    <row r="2" spans="1:23" ht="12" customHeight="1" x14ac:dyDescent="0.35">
      <c r="A2" s="39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39"/>
      <c r="P2" s="39"/>
      <c r="Q2" s="39"/>
      <c r="R2" s="39"/>
      <c r="S2" s="39"/>
      <c r="T2" s="39"/>
      <c r="U2" s="39"/>
      <c r="V2" s="39"/>
      <c r="W2" s="39"/>
    </row>
    <row r="3" spans="1:23" ht="15.5" x14ac:dyDescent="0.35">
      <c r="A3" s="39"/>
      <c r="B3" s="95" t="s">
        <v>79</v>
      </c>
      <c r="C3" s="96"/>
      <c r="D3" s="96"/>
      <c r="E3" s="97"/>
      <c r="F3" s="40"/>
      <c r="G3" s="95" t="s">
        <v>80</v>
      </c>
      <c r="H3" s="96"/>
      <c r="I3" s="96"/>
      <c r="J3" s="97"/>
      <c r="K3" s="40"/>
      <c r="L3" s="98" t="s">
        <v>81</v>
      </c>
      <c r="M3" s="87"/>
      <c r="N3" s="40"/>
      <c r="O3" s="39"/>
      <c r="P3" s="39"/>
      <c r="Q3" s="39"/>
      <c r="R3" s="39"/>
      <c r="S3" s="39"/>
      <c r="T3" s="39"/>
      <c r="U3" s="39"/>
      <c r="V3" s="39"/>
      <c r="W3" s="39"/>
    </row>
    <row r="4" spans="1:23" ht="15" customHeight="1" x14ac:dyDescent="0.35">
      <c r="A4" s="39"/>
      <c r="B4" s="99" t="s">
        <v>82</v>
      </c>
      <c r="C4" s="94"/>
      <c r="D4" s="87"/>
      <c r="E4" s="41"/>
      <c r="F4" s="40"/>
      <c r="G4" s="99"/>
      <c r="H4" s="94"/>
      <c r="I4" s="94"/>
      <c r="J4" s="87"/>
      <c r="K4" s="40"/>
      <c r="L4" s="42" t="s">
        <v>209</v>
      </c>
      <c r="M4" s="43">
        <f>C22</f>
        <v>0</v>
      </c>
      <c r="N4" s="40"/>
      <c r="O4" s="39"/>
      <c r="P4" s="39"/>
      <c r="Q4" s="39"/>
      <c r="R4" s="39"/>
      <c r="S4" s="39"/>
      <c r="T4" s="39"/>
      <c r="U4" s="39"/>
      <c r="V4" s="39"/>
      <c r="W4" s="39"/>
    </row>
    <row r="5" spans="1:23" ht="15" customHeight="1" x14ac:dyDescent="0.35">
      <c r="A5" s="39"/>
      <c r="B5" s="99" t="s">
        <v>84</v>
      </c>
      <c r="C5" s="94"/>
      <c r="D5" s="87"/>
      <c r="E5" s="41"/>
      <c r="F5" s="40"/>
      <c r="G5" s="99" t="s">
        <v>85</v>
      </c>
      <c r="H5" s="94"/>
      <c r="I5" s="87"/>
      <c r="J5" s="41" t="str">
        <f>IF(SUM(C30:V30)&gt;1500,"Ja","Nee")</f>
        <v>Nee</v>
      </c>
      <c r="K5" s="40"/>
      <c r="L5" s="42" t="s">
        <v>86</v>
      </c>
      <c r="M5" s="43">
        <f>C20</f>
        <v>0</v>
      </c>
      <c r="N5" s="40"/>
      <c r="O5" s="39"/>
      <c r="P5" s="39"/>
      <c r="Q5" s="39"/>
      <c r="R5" s="39"/>
      <c r="S5" s="39"/>
      <c r="T5" s="39"/>
      <c r="U5" s="39"/>
      <c r="V5" s="39"/>
      <c r="W5" s="39"/>
    </row>
    <row r="6" spans="1:23" ht="15" customHeight="1" x14ac:dyDescent="0.35">
      <c r="A6" s="39"/>
      <c r="B6" s="99" t="s">
        <v>87</v>
      </c>
      <c r="C6" s="94"/>
      <c r="D6" s="87"/>
      <c r="E6" s="42">
        <v>0</v>
      </c>
      <c r="F6" s="40"/>
      <c r="G6" s="99" t="s">
        <v>88</v>
      </c>
      <c r="H6" s="94"/>
      <c r="I6" s="87"/>
      <c r="J6" s="41"/>
      <c r="K6" s="40"/>
      <c r="L6" s="42" t="s">
        <v>89</v>
      </c>
      <c r="M6" s="108" t="str">
        <f>C21</f>
        <v>0</v>
      </c>
      <c r="N6" s="40"/>
      <c r="O6" s="39"/>
      <c r="P6" s="39"/>
      <c r="Q6" s="39"/>
      <c r="R6" s="39"/>
      <c r="S6" s="39"/>
      <c r="T6" s="39"/>
      <c r="U6" s="39"/>
      <c r="V6" s="39"/>
      <c r="W6" s="39"/>
    </row>
    <row r="7" spans="1:23" ht="15" customHeight="1" x14ac:dyDescent="0.35">
      <c r="A7" s="39"/>
      <c r="B7" s="99" t="s">
        <v>90</v>
      </c>
      <c r="C7" s="94"/>
      <c r="D7" s="87"/>
      <c r="E7" s="45"/>
      <c r="F7" s="40"/>
      <c r="G7" s="99" t="s">
        <v>91</v>
      </c>
      <c r="H7" s="94"/>
      <c r="I7" s="87"/>
      <c r="J7" s="42"/>
      <c r="K7" s="40"/>
      <c r="L7" s="40"/>
      <c r="M7" s="40"/>
      <c r="N7" s="40"/>
      <c r="O7" s="39"/>
      <c r="P7" s="39"/>
      <c r="Q7" s="39"/>
      <c r="R7" s="39"/>
      <c r="S7" s="39"/>
      <c r="T7" s="39"/>
      <c r="U7" s="39"/>
      <c r="V7" s="39"/>
      <c r="W7" s="39"/>
    </row>
    <row r="8" spans="1:23" ht="15" customHeight="1" x14ac:dyDescent="0.35">
      <c r="A8" s="39"/>
      <c r="B8" s="99" t="s">
        <v>92</v>
      </c>
      <c r="C8" s="94"/>
      <c r="D8" s="87"/>
      <c r="E8" s="46"/>
      <c r="F8" s="40"/>
      <c r="G8" s="99" t="s">
        <v>93</v>
      </c>
      <c r="H8" s="94"/>
      <c r="I8" s="87"/>
      <c r="J8" s="42"/>
      <c r="K8" s="40"/>
      <c r="L8" s="42" t="s">
        <v>94</v>
      </c>
      <c r="M8" s="47">
        <f ca="1">'Algemene info'!B6</f>
        <v>126</v>
      </c>
      <c r="N8" s="40"/>
      <c r="O8" s="39"/>
      <c r="P8" s="39"/>
      <c r="Q8" s="39"/>
      <c r="R8" s="39"/>
      <c r="S8" s="39"/>
      <c r="T8" s="39"/>
      <c r="U8" s="39"/>
      <c r="V8" s="39"/>
      <c r="W8" s="39"/>
    </row>
    <row r="9" spans="1:23" ht="15" customHeight="1" x14ac:dyDescent="0.35">
      <c r="A9" s="39"/>
      <c r="B9" s="99" t="s">
        <v>95</v>
      </c>
      <c r="C9" s="94"/>
      <c r="D9" s="87"/>
      <c r="E9" s="48"/>
      <c r="F9" s="40"/>
      <c r="G9" s="99"/>
      <c r="H9" s="94"/>
      <c r="I9" s="94"/>
      <c r="J9" s="87"/>
      <c r="K9" s="40"/>
      <c r="L9" s="40"/>
      <c r="M9" s="40"/>
      <c r="N9" s="40"/>
      <c r="O9" s="39"/>
      <c r="P9" s="39"/>
      <c r="Q9" s="39"/>
      <c r="R9" s="39"/>
      <c r="S9" s="39"/>
      <c r="T9" s="39"/>
      <c r="U9" s="39"/>
      <c r="V9" s="39"/>
      <c r="W9" s="39"/>
    </row>
    <row r="10" spans="1:23" ht="15" customHeight="1" x14ac:dyDescent="0.35">
      <c r="A10" s="39"/>
      <c r="B10" s="99" t="s">
        <v>96</v>
      </c>
      <c r="C10" s="94"/>
      <c r="D10" s="87"/>
      <c r="E10" s="46">
        <f>E9-E8</f>
        <v>0</v>
      </c>
      <c r="F10" s="40"/>
      <c r="G10" s="99" t="s">
        <v>97</v>
      </c>
      <c r="H10" s="94"/>
      <c r="I10" s="87"/>
      <c r="J10" s="49">
        <f ca="1">30+(M8*30)</f>
        <v>3810</v>
      </c>
      <c r="K10" s="40"/>
      <c r="L10" s="40"/>
      <c r="M10" s="40"/>
      <c r="N10" s="40"/>
      <c r="O10" s="39"/>
      <c r="P10" s="39"/>
      <c r="Q10" s="39"/>
      <c r="R10" s="39"/>
      <c r="S10" s="39"/>
      <c r="T10" s="39"/>
      <c r="U10" s="39"/>
      <c r="V10" s="39"/>
      <c r="W10" s="39"/>
    </row>
    <row r="11" spans="1:23" ht="15.75" customHeight="1" x14ac:dyDescent="0.35">
      <c r="A11" s="39"/>
      <c r="B11" s="99" t="s">
        <v>98</v>
      </c>
      <c r="C11" s="94"/>
      <c r="D11" s="87"/>
      <c r="E11" s="46">
        <f>SUMIF(C19:V19,"true",C16:V16)</f>
        <v>0</v>
      </c>
      <c r="F11" s="40"/>
      <c r="G11" s="40"/>
      <c r="H11" s="40"/>
      <c r="I11" s="40"/>
      <c r="J11" s="40"/>
      <c r="K11" s="40"/>
      <c r="L11" s="40"/>
      <c r="M11" s="40"/>
      <c r="N11" s="40"/>
      <c r="O11" s="39"/>
      <c r="P11" s="39"/>
      <c r="Q11" s="39"/>
      <c r="R11" s="39"/>
      <c r="S11" s="39"/>
      <c r="T11" s="39"/>
      <c r="U11" s="39"/>
      <c r="V11" s="39"/>
      <c r="W11" s="39"/>
    </row>
    <row r="12" spans="1:23" ht="12" customHeight="1" x14ac:dyDescent="0.35">
      <c r="A12" s="39"/>
      <c r="B12" s="50"/>
      <c r="C12" s="50"/>
      <c r="D12" s="50"/>
      <c r="E12" s="50"/>
      <c r="F12" s="40"/>
      <c r="G12" s="40"/>
      <c r="H12" s="40"/>
      <c r="I12" s="40"/>
      <c r="J12" s="40"/>
      <c r="K12" s="40"/>
      <c r="L12" s="40"/>
      <c r="M12" s="40"/>
      <c r="N12" s="40"/>
      <c r="O12" s="39"/>
      <c r="P12" s="39"/>
      <c r="Q12" s="39"/>
      <c r="R12" s="39"/>
      <c r="S12" s="39"/>
      <c r="T12" s="39"/>
      <c r="U12" s="39"/>
      <c r="V12" s="39"/>
      <c r="W12" s="39"/>
    </row>
    <row r="13" spans="1:23" ht="15.5" x14ac:dyDescent="0.35">
      <c r="A13" s="39"/>
      <c r="B13" s="95" t="s">
        <v>99</v>
      </c>
      <c r="C13" s="96"/>
      <c r="D13" s="96"/>
      <c r="E13" s="97"/>
      <c r="F13" s="51"/>
      <c r="G13" s="40"/>
      <c r="H13" s="40"/>
      <c r="I13" s="40"/>
      <c r="J13" s="40"/>
      <c r="K13" s="40"/>
      <c r="L13" s="40"/>
      <c r="M13" s="40"/>
      <c r="N13" s="40"/>
      <c r="O13" s="39"/>
      <c r="P13" s="39"/>
      <c r="Q13" s="39"/>
      <c r="R13" s="39"/>
      <c r="S13" s="39"/>
      <c r="T13" s="39"/>
      <c r="U13" s="39"/>
      <c r="V13" s="39"/>
      <c r="W13" s="39"/>
    </row>
    <row r="14" spans="1:23" ht="15" customHeight="1" x14ac:dyDescent="0.35">
      <c r="A14" s="39"/>
      <c r="B14" s="41"/>
      <c r="C14" s="52" t="s">
        <v>100</v>
      </c>
      <c r="D14" s="52" t="s">
        <v>101</v>
      </c>
      <c r="E14" s="52" t="s">
        <v>102</v>
      </c>
      <c r="F14" s="52" t="s">
        <v>103</v>
      </c>
      <c r="G14" s="52" t="s">
        <v>104</v>
      </c>
      <c r="H14" s="52" t="s">
        <v>105</v>
      </c>
      <c r="I14" s="52" t="s">
        <v>106</v>
      </c>
      <c r="J14" s="52" t="s">
        <v>107</v>
      </c>
      <c r="K14" s="52" t="s">
        <v>108</v>
      </c>
      <c r="L14" s="52" t="s">
        <v>109</v>
      </c>
      <c r="M14" s="52" t="s">
        <v>110</v>
      </c>
      <c r="N14" s="52" t="s">
        <v>111</v>
      </c>
      <c r="O14" s="52" t="s">
        <v>112</v>
      </c>
      <c r="P14" s="52" t="s">
        <v>113</v>
      </c>
      <c r="Q14" s="52" t="s">
        <v>114</v>
      </c>
      <c r="R14" s="52" t="s">
        <v>115</v>
      </c>
      <c r="S14" s="52" t="s">
        <v>116</v>
      </c>
      <c r="T14" s="52" t="s">
        <v>117</v>
      </c>
      <c r="U14" s="52" t="s">
        <v>118</v>
      </c>
      <c r="V14" s="52" t="s">
        <v>119</v>
      </c>
      <c r="W14" s="39"/>
    </row>
    <row r="15" spans="1:23" ht="15" customHeight="1" x14ac:dyDescent="0.35">
      <c r="A15" s="39"/>
      <c r="B15" s="41" t="s">
        <v>120</v>
      </c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39"/>
    </row>
    <row r="16" spans="1:23" ht="15" customHeight="1" x14ac:dyDescent="0.35">
      <c r="A16" s="39"/>
      <c r="B16" s="41" t="s">
        <v>121</v>
      </c>
      <c r="C16" s="53"/>
      <c r="D16" s="54"/>
      <c r="E16" s="54"/>
      <c r="F16" s="54"/>
      <c r="G16" s="54"/>
      <c r="H16" s="54"/>
      <c r="I16" s="54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39"/>
    </row>
    <row r="17" spans="1:23" ht="15" customHeight="1" x14ac:dyDescent="0.35">
      <c r="A17" s="39"/>
      <c r="B17" s="41" t="s">
        <v>122</v>
      </c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39"/>
    </row>
    <row r="18" spans="1:23" ht="15" customHeight="1" x14ac:dyDescent="0.35">
      <c r="A18" s="39"/>
      <c r="B18" s="41" t="s">
        <v>123</v>
      </c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39"/>
    </row>
    <row r="19" spans="1:23" ht="15" customHeight="1" x14ac:dyDescent="0.35">
      <c r="A19" s="39"/>
      <c r="B19" s="55" t="s">
        <v>124</v>
      </c>
      <c r="C19" s="56" t="b">
        <v>0</v>
      </c>
      <c r="D19" s="52" t="b">
        <v>0</v>
      </c>
      <c r="E19" s="52" t="b">
        <v>0</v>
      </c>
      <c r="F19" s="52" t="b">
        <v>0</v>
      </c>
      <c r="G19" s="52" t="b">
        <v>0</v>
      </c>
      <c r="H19" s="52" t="b">
        <v>0</v>
      </c>
      <c r="I19" s="52" t="b">
        <v>0</v>
      </c>
      <c r="J19" s="52" t="b">
        <v>0</v>
      </c>
      <c r="K19" s="52" t="b">
        <v>0</v>
      </c>
      <c r="L19" s="52" t="b">
        <v>0</v>
      </c>
      <c r="M19" s="52" t="b">
        <v>0</v>
      </c>
      <c r="N19" s="52" t="b">
        <v>0</v>
      </c>
      <c r="O19" s="52" t="b">
        <v>0</v>
      </c>
      <c r="P19" s="52" t="b">
        <v>0</v>
      </c>
      <c r="Q19" s="52" t="b">
        <v>0</v>
      </c>
      <c r="R19" s="52" t="b">
        <v>0</v>
      </c>
      <c r="S19" s="52" t="b">
        <v>0</v>
      </c>
      <c r="T19" s="52" t="b">
        <v>0</v>
      </c>
      <c r="U19" s="52" t="b">
        <v>0</v>
      </c>
      <c r="V19" s="52" t="b">
        <v>0</v>
      </c>
      <c r="W19" s="39"/>
    </row>
    <row r="20" spans="1:23" ht="15" customHeight="1" x14ac:dyDescent="0.35">
      <c r="A20" s="39"/>
      <c r="B20" s="57" t="s">
        <v>86</v>
      </c>
      <c r="C20" s="58">
        <f>MAX(C16:V16)</f>
        <v>0</v>
      </c>
      <c r="D20" s="59"/>
      <c r="E20" s="60"/>
      <c r="F20" s="61"/>
      <c r="G20" s="61"/>
      <c r="H20" s="61"/>
      <c r="I20" s="61"/>
      <c r="J20" s="61"/>
      <c r="K20" s="61"/>
      <c r="L20" s="61"/>
      <c r="M20" s="61"/>
      <c r="N20" s="61"/>
      <c r="O20" s="39"/>
      <c r="P20" s="39"/>
      <c r="Q20" s="39"/>
      <c r="R20" s="39"/>
      <c r="S20" s="39"/>
      <c r="T20" s="39"/>
      <c r="U20" s="39"/>
      <c r="V20" s="39"/>
      <c r="W20" s="39"/>
    </row>
    <row r="21" spans="1:23" ht="15" customHeight="1" x14ac:dyDescent="0.35">
      <c r="A21" s="39"/>
      <c r="B21" s="62" t="s">
        <v>89</v>
      </c>
      <c r="C21" s="63" t="str">
        <f>IFERROR(AVERAGE(C16:V16),"0")</f>
        <v>0</v>
      </c>
      <c r="D21" s="60"/>
      <c r="E21" s="60"/>
      <c r="F21" s="61"/>
      <c r="G21" s="61"/>
      <c r="H21" s="61"/>
      <c r="I21" s="61"/>
      <c r="J21" s="61"/>
      <c r="K21" s="61"/>
      <c r="L21" s="61"/>
      <c r="M21" s="61"/>
      <c r="N21" s="61"/>
      <c r="O21" s="39"/>
      <c r="P21" s="39"/>
      <c r="Q21" s="39"/>
      <c r="R21" s="39"/>
      <c r="S21" s="39"/>
      <c r="T21" s="39"/>
      <c r="U21" s="39"/>
      <c r="V21" s="39"/>
      <c r="W21" s="39"/>
    </row>
    <row r="22" spans="1:23" ht="15" customHeight="1" x14ac:dyDescent="0.35">
      <c r="A22" s="39"/>
      <c r="B22" s="64" t="s">
        <v>125</v>
      </c>
      <c r="C22" s="65">
        <f>SUM(C16:V16)</f>
        <v>0</v>
      </c>
      <c r="D22" s="60"/>
      <c r="E22" s="60"/>
      <c r="F22" s="61"/>
      <c r="G22" s="61"/>
      <c r="H22" s="61"/>
      <c r="I22" s="61"/>
      <c r="J22" s="61"/>
      <c r="K22" s="61"/>
      <c r="L22" s="61"/>
      <c r="M22" s="61"/>
      <c r="N22" s="61"/>
      <c r="O22" s="39"/>
      <c r="P22" s="39"/>
      <c r="Q22" s="39"/>
      <c r="R22" s="39"/>
      <c r="S22" s="39"/>
      <c r="T22" s="39"/>
      <c r="U22" s="39"/>
      <c r="V22" s="39"/>
      <c r="W22" s="39"/>
    </row>
    <row r="23" spans="1:23" ht="15" customHeight="1" x14ac:dyDescent="0.35">
      <c r="A23" s="39"/>
      <c r="B23" s="61"/>
      <c r="C23" s="39"/>
      <c r="D23" s="39"/>
      <c r="E23" s="39"/>
      <c r="F23" s="66"/>
      <c r="G23" s="66"/>
      <c r="H23" s="66"/>
      <c r="I23" s="40"/>
      <c r="J23" s="40"/>
      <c r="K23" s="40"/>
      <c r="L23" s="40"/>
      <c r="M23" s="40"/>
      <c r="N23" s="40"/>
      <c r="O23" s="39"/>
      <c r="P23" s="39"/>
      <c r="Q23" s="39"/>
      <c r="R23" s="39"/>
      <c r="S23" s="39"/>
      <c r="T23" s="39"/>
      <c r="U23" s="39"/>
      <c r="V23" s="39"/>
      <c r="W23" s="39"/>
    </row>
    <row r="24" spans="1:23" ht="15" customHeight="1" x14ac:dyDescent="0.35">
      <c r="A24" s="39"/>
      <c r="B24" s="99" t="s">
        <v>126</v>
      </c>
      <c r="C24" s="94"/>
      <c r="D24" s="87"/>
      <c r="E24" s="46">
        <f>SUM(E10:E11)</f>
        <v>0</v>
      </c>
      <c r="F24" s="61"/>
      <c r="G24" s="61"/>
      <c r="H24" s="61"/>
      <c r="I24" s="40"/>
      <c r="J24" s="40"/>
      <c r="K24" s="40"/>
      <c r="L24" s="40"/>
      <c r="M24" s="40"/>
      <c r="N24" s="40"/>
      <c r="O24" s="39"/>
      <c r="P24" s="39"/>
      <c r="Q24" s="39"/>
      <c r="R24" s="39"/>
      <c r="S24" s="39"/>
      <c r="T24" s="39"/>
      <c r="U24" s="39"/>
      <c r="V24" s="39"/>
      <c r="W24" s="39"/>
    </row>
    <row r="25" spans="1:23" ht="15" customHeight="1" x14ac:dyDescent="0.35">
      <c r="A25" s="39"/>
      <c r="B25" s="61"/>
      <c r="C25" s="61"/>
      <c r="D25" s="61"/>
      <c r="E25" s="61"/>
      <c r="F25" s="61"/>
      <c r="G25" s="61"/>
      <c r="H25" s="61"/>
      <c r="I25" s="40"/>
      <c r="J25" s="40"/>
      <c r="K25" s="40"/>
      <c r="L25" s="40"/>
      <c r="M25" s="40"/>
      <c r="N25" s="40"/>
      <c r="O25" s="39"/>
      <c r="P25" s="39"/>
      <c r="Q25" s="39"/>
      <c r="R25" s="39"/>
      <c r="S25" s="39"/>
      <c r="T25" s="39"/>
      <c r="U25" s="39"/>
      <c r="V25" s="39"/>
      <c r="W25" s="39"/>
    </row>
    <row r="26" spans="1:23" ht="15" customHeight="1" x14ac:dyDescent="0.35">
      <c r="A26" s="39"/>
      <c r="B26" s="61"/>
      <c r="C26" s="61"/>
      <c r="D26" s="61"/>
      <c r="E26" s="61"/>
      <c r="F26" s="61"/>
      <c r="G26" s="61"/>
      <c r="H26" s="61"/>
      <c r="I26" s="40"/>
      <c r="J26" s="40"/>
      <c r="K26" s="40"/>
      <c r="L26" s="40"/>
      <c r="M26" s="40"/>
      <c r="N26" s="40"/>
      <c r="O26" s="39"/>
      <c r="P26" s="39"/>
      <c r="Q26" s="39"/>
      <c r="R26" s="39"/>
      <c r="S26" s="39"/>
      <c r="T26" s="39"/>
      <c r="U26" s="39"/>
      <c r="V26" s="39"/>
      <c r="W26" s="39"/>
    </row>
    <row r="27" spans="1:23" ht="15" customHeight="1" x14ac:dyDescent="0.35">
      <c r="A27" s="39"/>
      <c r="B27" s="95" t="s">
        <v>127</v>
      </c>
      <c r="C27" s="96"/>
      <c r="D27" s="96"/>
      <c r="E27" s="97"/>
      <c r="F27" s="40"/>
      <c r="G27" s="40"/>
      <c r="H27" s="40"/>
      <c r="I27" s="40"/>
      <c r="J27" s="40"/>
      <c r="K27" s="40"/>
      <c r="L27" s="40"/>
      <c r="M27" s="40"/>
      <c r="N27" s="40"/>
      <c r="O27" s="39"/>
      <c r="P27" s="39"/>
      <c r="Q27" s="39"/>
      <c r="R27" s="39"/>
      <c r="S27" s="39"/>
      <c r="T27" s="39"/>
      <c r="U27" s="39"/>
      <c r="V27" s="39"/>
      <c r="W27" s="39"/>
    </row>
    <row r="28" spans="1:23" ht="15" customHeight="1" x14ac:dyDescent="0.35">
      <c r="A28" s="39"/>
      <c r="B28" s="45"/>
      <c r="C28" s="67" t="s">
        <v>128</v>
      </c>
      <c r="D28" s="67" t="s">
        <v>129</v>
      </c>
      <c r="E28" s="67" t="s">
        <v>130</v>
      </c>
      <c r="F28" s="52" t="s">
        <v>131</v>
      </c>
      <c r="G28" s="52" t="s">
        <v>132</v>
      </c>
      <c r="H28" s="52" t="s">
        <v>133</v>
      </c>
      <c r="I28" s="52" t="s">
        <v>134</v>
      </c>
      <c r="J28" s="52" t="s">
        <v>135</v>
      </c>
      <c r="K28" s="52" t="s">
        <v>136</v>
      </c>
      <c r="L28" s="52" t="s">
        <v>137</v>
      </c>
      <c r="M28" s="52" t="s">
        <v>138</v>
      </c>
      <c r="N28" s="52" t="s">
        <v>139</v>
      </c>
      <c r="O28" s="52" t="s">
        <v>140</v>
      </c>
      <c r="P28" s="52" t="s">
        <v>141</v>
      </c>
      <c r="Q28" s="52" t="s">
        <v>142</v>
      </c>
      <c r="R28" s="52" t="s">
        <v>143</v>
      </c>
      <c r="S28" s="52" t="s">
        <v>144</v>
      </c>
      <c r="T28" s="52" t="s">
        <v>145</v>
      </c>
      <c r="U28" s="52" t="s">
        <v>146</v>
      </c>
      <c r="V28" s="52" t="s">
        <v>147</v>
      </c>
      <c r="W28" s="39"/>
    </row>
    <row r="29" spans="1:23" ht="15" customHeight="1" x14ac:dyDescent="0.35">
      <c r="A29" s="39"/>
      <c r="B29" s="41" t="s">
        <v>120</v>
      </c>
      <c r="C29" s="55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39"/>
    </row>
    <row r="30" spans="1:23" ht="15" customHeight="1" x14ac:dyDescent="0.35">
      <c r="A30" s="39"/>
      <c r="B30" s="68" t="s">
        <v>148</v>
      </c>
      <c r="C30" s="54"/>
      <c r="D30" s="69"/>
      <c r="E30" s="54"/>
      <c r="F30" s="54"/>
      <c r="G30" s="54"/>
      <c r="H30" s="54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39"/>
    </row>
    <row r="31" spans="1:23" ht="15" customHeight="1" x14ac:dyDescent="0.35">
      <c r="A31" s="39"/>
      <c r="B31" s="55" t="s">
        <v>149</v>
      </c>
      <c r="C31" s="70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39"/>
    </row>
    <row r="32" spans="1:23" ht="15" customHeight="1" x14ac:dyDescent="0.35">
      <c r="A32" s="39"/>
      <c r="B32" s="71" t="s">
        <v>150</v>
      </c>
      <c r="C32" s="72">
        <f>SUM(C30:V30)</f>
        <v>0</v>
      </c>
      <c r="D32" s="60"/>
      <c r="E32" s="60"/>
      <c r="F32" s="61"/>
      <c r="G32" s="61"/>
      <c r="H32" s="61"/>
      <c r="I32" s="61"/>
      <c r="J32" s="61"/>
      <c r="K32" s="61"/>
      <c r="L32" s="61"/>
      <c r="M32" s="61"/>
      <c r="N32" s="61"/>
      <c r="O32" s="39"/>
      <c r="P32" s="39"/>
      <c r="Q32" s="39"/>
      <c r="R32" s="39"/>
      <c r="S32" s="39"/>
      <c r="T32" s="39"/>
      <c r="U32" s="39"/>
      <c r="V32" s="39"/>
      <c r="W32" s="39"/>
    </row>
    <row r="33" spans="1:23" ht="12" customHeight="1" x14ac:dyDescent="0.35">
      <c r="A33" s="39"/>
      <c r="B33" s="50"/>
      <c r="C33" s="50"/>
      <c r="D33" s="50"/>
      <c r="E33" s="50"/>
      <c r="F33" s="50"/>
      <c r="G33" s="50"/>
      <c r="H33" s="40"/>
      <c r="I33" s="40"/>
      <c r="J33" s="40"/>
      <c r="K33" s="40"/>
      <c r="L33" s="40"/>
      <c r="M33" s="40"/>
      <c r="N33" s="40"/>
      <c r="O33" s="39"/>
      <c r="P33" s="39"/>
      <c r="Q33" s="39"/>
      <c r="R33" s="39"/>
      <c r="S33" s="39"/>
      <c r="T33" s="39"/>
      <c r="U33" s="39"/>
      <c r="V33" s="39"/>
      <c r="W33" s="39"/>
    </row>
    <row r="34" spans="1:23" ht="12" customHeight="1" x14ac:dyDescent="0.35">
      <c r="A34" s="39"/>
      <c r="B34" s="73" t="s">
        <v>151</v>
      </c>
      <c r="C34" s="73"/>
      <c r="D34" s="73"/>
      <c r="E34" s="73"/>
      <c r="F34" s="73"/>
      <c r="G34" s="73"/>
      <c r="H34" s="40"/>
      <c r="I34" s="40"/>
      <c r="J34" s="40"/>
      <c r="K34" s="40"/>
      <c r="L34" s="40"/>
      <c r="M34" s="40"/>
      <c r="N34" s="40"/>
      <c r="O34" s="39"/>
      <c r="P34" s="39"/>
      <c r="Q34" s="39"/>
      <c r="R34" s="39"/>
      <c r="S34" s="39"/>
      <c r="T34" s="39"/>
      <c r="U34" s="39"/>
      <c r="V34" s="39"/>
      <c r="W34" s="39"/>
    </row>
    <row r="35" spans="1:23" ht="193.5" customHeight="1" x14ac:dyDescent="0.35">
      <c r="A35" s="39"/>
      <c r="B35" s="100"/>
      <c r="C35" s="101"/>
      <c r="D35" s="101"/>
      <c r="E35" s="101"/>
      <c r="F35" s="101"/>
      <c r="G35" s="101"/>
      <c r="H35" s="40"/>
      <c r="I35" s="40"/>
      <c r="J35" s="40"/>
      <c r="K35" s="40"/>
      <c r="L35" s="40"/>
      <c r="M35" s="40"/>
      <c r="N35" s="40"/>
      <c r="O35" s="39"/>
      <c r="P35" s="39"/>
      <c r="Q35" s="39"/>
      <c r="R35" s="39"/>
      <c r="S35" s="39"/>
      <c r="T35" s="39"/>
      <c r="U35" s="39"/>
      <c r="V35" s="39"/>
      <c r="W35" s="39"/>
    </row>
    <row r="36" spans="1:23" ht="12" customHeight="1" x14ac:dyDescent="0.35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</row>
  </sheetData>
  <mergeCells count="23">
    <mergeCell ref="B11:D11"/>
    <mergeCell ref="B13:E13"/>
    <mergeCell ref="B24:D24"/>
    <mergeCell ref="B27:E27"/>
    <mergeCell ref="B35:G35"/>
    <mergeCell ref="G5:I5"/>
    <mergeCell ref="G8:I8"/>
    <mergeCell ref="G9:J9"/>
    <mergeCell ref="B10:D10"/>
    <mergeCell ref="G10:I10"/>
    <mergeCell ref="B5:D5"/>
    <mergeCell ref="B6:D6"/>
    <mergeCell ref="G6:I6"/>
    <mergeCell ref="B7:D7"/>
    <mergeCell ref="G7:I7"/>
    <mergeCell ref="B8:D8"/>
    <mergeCell ref="B9:D9"/>
    <mergeCell ref="B1:J1"/>
    <mergeCell ref="B3:E3"/>
    <mergeCell ref="G3:J3"/>
    <mergeCell ref="L3:M3"/>
    <mergeCell ref="B4:D4"/>
    <mergeCell ref="G4:J4"/>
  </mergeCells>
  <pageMargins left="0.7" right="0.7" top="0.75" bottom="0.75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 xr:uid="{00000000-0002-0000-0200-000000000000}">
          <x14:formula1>
            <xm:f>Dropdowns!$A$1:$A$3</xm:f>
          </x14:formula1>
          <xm:sqref>E4 J5:J6 E7</xm:sqref>
        </x14:dataValidation>
        <x14:dataValidation type="list" allowBlank="1" showErrorMessage="1" xr:uid="{00000000-0002-0000-0200-000001000000}">
          <x14:formula1>
            <xm:f>Dropdowns!$B$1:$B$9</xm:f>
          </x14:formula1>
          <xm:sqref>E5</xm:sqref>
        </x14:dataValidation>
        <x14:dataValidation type="list" allowBlank="1" showErrorMessage="1" xr:uid="{00000000-0002-0000-0200-000002000000}">
          <x14:formula1>
            <xm:f>Dropdowns!$E$12:$E$21</xm:f>
          </x14:formula1>
          <xm:sqref>C18:V18</xm:sqref>
        </x14:dataValidation>
        <x14:dataValidation type="list" allowBlank="1" showErrorMessage="1" xr:uid="{00000000-0002-0000-0200-000003000000}">
          <x14:formula1>
            <xm:f>Dropdowns!$N$2:$N$22</xm:f>
          </x14:formula1>
          <xm:sqref>J8</xm:sqref>
        </x14:dataValidation>
        <x14:dataValidation type="list" allowBlank="1" showErrorMessage="1" xr:uid="{00000000-0002-0000-0200-000004000000}">
          <x14:formula1>
            <xm:f>Dropdowns!$N$2:$N$17</xm:f>
          </x14:formula1>
          <xm:sqref>E6 J7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EEAF6"/>
  </sheetPr>
  <dimension ref="A1:W36"/>
  <sheetViews>
    <sheetView topLeftCell="A2" workbookViewId="0">
      <selection activeCell="M7" sqref="M7"/>
    </sheetView>
  </sheetViews>
  <sheetFormatPr defaultColWidth="11.25" defaultRowHeight="15" customHeight="1" x14ac:dyDescent="0.35"/>
  <cols>
    <col min="1" max="1" width="2" customWidth="1"/>
    <col min="2" max="2" width="11.08203125" customWidth="1"/>
    <col min="3" max="23" width="7.75" customWidth="1"/>
  </cols>
  <sheetData>
    <row r="1" spans="1:23" ht="18.5" x14ac:dyDescent="0.35">
      <c r="A1" s="39"/>
      <c r="B1" s="93" t="s">
        <v>78</v>
      </c>
      <c r="C1" s="94"/>
      <c r="D1" s="94"/>
      <c r="E1" s="94"/>
      <c r="F1" s="94"/>
      <c r="G1" s="94"/>
      <c r="H1" s="94"/>
      <c r="I1" s="94"/>
      <c r="J1" s="87"/>
      <c r="K1" s="40"/>
      <c r="L1" s="40"/>
      <c r="M1" s="40"/>
      <c r="N1" s="40"/>
      <c r="O1" s="39"/>
      <c r="P1" s="39"/>
      <c r="Q1" s="39"/>
      <c r="R1" s="39"/>
      <c r="S1" s="39"/>
      <c r="T1" s="39"/>
      <c r="U1" s="39"/>
      <c r="V1" s="39"/>
      <c r="W1" s="39"/>
    </row>
    <row r="2" spans="1:23" ht="12" customHeight="1" x14ac:dyDescent="0.35">
      <c r="A2" s="39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39"/>
      <c r="P2" s="39"/>
      <c r="Q2" s="39"/>
      <c r="R2" s="39"/>
      <c r="S2" s="39"/>
      <c r="T2" s="39"/>
      <c r="U2" s="39"/>
      <c r="V2" s="39"/>
      <c r="W2" s="39"/>
    </row>
    <row r="3" spans="1:23" ht="15.5" x14ac:dyDescent="0.35">
      <c r="A3" s="39"/>
      <c r="B3" s="95" t="s">
        <v>79</v>
      </c>
      <c r="C3" s="96"/>
      <c r="D3" s="96"/>
      <c r="E3" s="97"/>
      <c r="F3" s="40"/>
      <c r="G3" s="95" t="s">
        <v>80</v>
      </c>
      <c r="H3" s="96"/>
      <c r="I3" s="96"/>
      <c r="J3" s="97"/>
      <c r="K3" s="40"/>
      <c r="L3" s="98" t="s">
        <v>81</v>
      </c>
      <c r="M3" s="87"/>
      <c r="N3" s="40"/>
      <c r="O3" s="39"/>
      <c r="P3" s="39"/>
      <c r="Q3" s="39"/>
      <c r="R3" s="39"/>
      <c r="S3" s="39"/>
      <c r="T3" s="39"/>
      <c r="U3" s="39"/>
      <c r="V3" s="39"/>
      <c r="W3" s="39"/>
    </row>
    <row r="4" spans="1:23" ht="15" customHeight="1" x14ac:dyDescent="0.35">
      <c r="A4" s="39"/>
      <c r="B4" s="99" t="s">
        <v>82</v>
      </c>
      <c r="C4" s="94"/>
      <c r="D4" s="87"/>
      <c r="E4" s="41"/>
      <c r="F4" s="40"/>
      <c r="G4" s="99"/>
      <c r="H4" s="94"/>
      <c r="I4" s="94"/>
      <c r="J4" s="87"/>
      <c r="K4" s="40"/>
      <c r="L4" s="42" t="s">
        <v>209</v>
      </c>
      <c r="M4" s="43">
        <f>C22</f>
        <v>0</v>
      </c>
      <c r="N4" s="40"/>
      <c r="O4" s="39"/>
      <c r="P4" s="39"/>
      <c r="Q4" s="39"/>
      <c r="R4" s="39"/>
      <c r="S4" s="39"/>
      <c r="T4" s="39"/>
      <c r="U4" s="39"/>
      <c r="V4" s="39"/>
      <c r="W4" s="39"/>
    </row>
    <row r="5" spans="1:23" ht="15" customHeight="1" x14ac:dyDescent="0.35">
      <c r="A5" s="39"/>
      <c r="B5" s="99" t="s">
        <v>84</v>
      </c>
      <c r="C5" s="94"/>
      <c r="D5" s="87"/>
      <c r="E5" s="41"/>
      <c r="F5" s="40"/>
      <c r="G5" s="99" t="s">
        <v>85</v>
      </c>
      <c r="H5" s="94"/>
      <c r="I5" s="87"/>
      <c r="J5" s="41" t="str">
        <f>IF(SUM(C30:V30)&gt;1500,"Ja","Nee")</f>
        <v>Nee</v>
      </c>
      <c r="K5" s="40"/>
      <c r="L5" s="42" t="s">
        <v>86</v>
      </c>
      <c r="M5" s="43">
        <f>C20</f>
        <v>0</v>
      </c>
      <c r="N5" s="40"/>
      <c r="O5" s="39"/>
      <c r="P5" s="39"/>
      <c r="Q5" s="39"/>
      <c r="R5" s="39"/>
      <c r="S5" s="39"/>
      <c r="T5" s="39"/>
      <c r="U5" s="39"/>
      <c r="V5" s="39"/>
      <c r="W5" s="39"/>
    </row>
    <row r="6" spans="1:23" ht="15" customHeight="1" x14ac:dyDescent="0.35">
      <c r="A6" s="39"/>
      <c r="B6" s="99" t="s">
        <v>87</v>
      </c>
      <c r="C6" s="94"/>
      <c r="D6" s="87"/>
      <c r="E6" s="42">
        <v>0</v>
      </c>
      <c r="F6" s="40"/>
      <c r="G6" s="99" t="s">
        <v>88</v>
      </c>
      <c r="H6" s="94"/>
      <c r="I6" s="87"/>
      <c r="J6" s="41"/>
      <c r="K6" s="40"/>
      <c r="L6" s="42" t="s">
        <v>89</v>
      </c>
      <c r="M6" s="108" t="str">
        <f>C21</f>
        <v>0</v>
      </c>
      <c r="N6" s="40"/>
      <c r="O6" s="39"/>
      <c r="P6" s="39"/>
      <c r="Q6" s="39"/>
      <c r="R6" s="39"/>
      <c r="S6" s="39"/>
      <c r="T6" s="39"/>
      <c r="U6" s="39"/>
      <c r="V6" s="39"/>
      <c r="W6" s="39"/>
    </row>
    <row r="7" spans="1:23" ht="15" customHeight="1" x14ac:dyDescent="0.35">
      <c r="A7" s="39"/>
      <c r="B7" s="99" t="s">
        <v>90</v>
      </c>
      <c r="C7" s="94"/>
      <c r="D7" s="87"/>
      <c r="E7" s="45"/>
      <c r="F7" s="40"/>
      <c r="G7" s="99" t="s">
        <v>91</v>
      </c>
      <c r="H7" s="94"/>
      <c r="I7" s="87"/>
      <c r="J7" s="42"/>
      <c r="K7" s="40"/>
      <c r="L7" s="40"/>
      <c r="M7" s="40"/>
      <c r="N7" s="40"/>
      <c r="O7" s="39"/>
      <c r="P7" s="39"/>
      <c r="Q7" s="39"/>
      <c r="R7" s="39"/>
      <c r="S7" s="39"/>
      <c r="T7" s="39"/>
      <c r="U7" s="39"/>
      <c r="V7" s="39"/>
      <c r="W7" s="39"/>
    </row>
    <row r="8" spans="1:23" ht="15" customHeight="1" x14ac:dyDescent="0.35">
      <c r="A8" s="39"/>
      <c r="B8" s="99" t="s">
        <v>92</v>
      </c>
      <c r="C8" s="94"/>
      <c r="D8" s="87"/>
      <c r="E8" s="46"/>
      <c r="F8" s="40"/>
      <c r="G8" s="99" t="s">
        <v>93</v>
      </c>
      <c r="H8" s="94"/>
      <c r="I8" s="87"/>
      <c r="J8" s="42"/>
      <c r="K8" s="40"/>
      <c r="L8" s="42" t="s">
        <v>94</v>
      </c>
      <c r="M8" s="47">
        <f ca="1">'Algemene info'!B6</f>
        <v>126</v>
      </c>
      <c r="N8" s="40"/>
      <c r="O8" s="39"/>
      <c r="P8" s="39"/>
      <c r="Q8" s="39"/>
      <c r="R8" s="39"/>
      <c r="S8" s="39"/>
      <c r="T8" s="39"/>
      <c r="U8" s="39"/>
      <c r="V8" s="39"/>
      <c r="W8" s="39"/>
    </row>
    <row r="9" spans="1:23" ht="15" customHeight="1" x14ac:dyDescent="0.35">
      <c r="A9" s="39"/>
      <c r="B9" s="99" t="s">
        <v>95</v>
      </c>
      <c r="C9" s="94"/>
      <c r="D9" s="87"/>
      <c r="E9" s="48"/>
      <c r="F9" s="40"/>
      <c r="G9" s="99"/>
      <c r="H9" s="94"/>
      <c r="I9" s="94"/>
      <c r="J9" s="87"/>
      <c r="K9" s="40"/>
      <c r="L9" s="40"/>
      <c r="M9" s="40"/>
      <c r="N9" s="40"/>
      <c r="O9" s="39"/>
      <c r="P9" s="39"/>
      <c r="Q9" s="39"/>
      <c r="R9" s="39"/>
      <c r="S9" s="39"/>
      <c r="T9" s="39"/>
      <c r="U9" s="39"/>
      <c r="V9" s="39"/>
      <c r="W9" s="39"/>
    </row>
    <row r="10" spans="1:23" ht="15" customHeight="1" x14ac:dyDescent="0.35">
      <c r="A10" s="39"/>
      <c r="B10" s="99" t="s">
        <v>96</v>
      </c>
      <c r="C10" s="94"/>
      <c r="D10" s="87"/>
      <c r="E10" s="46">
        <f>E9-E8</f>
        <v>0</v>
      </c>
      <c r="F10" s="40"/>
      <c r="G10" s="99" t="s">
        <v>97</v>
      </c>
      <c r="H10" s="94"/>
      <c r="I10" s="87"/>
      <c r="J10" s="49">
        <f ca="1">30+(M8*30)</f>
        <v>3810</v>
      </c>
      <c r="K10" s="40"/>
      <c r="L10" s="40"/>
      <c r="M10" s="40"/>
      <c r="N10" s="40"/>
      <c r="O10" s="39"/>
      <c r="P10" s="39"/>
      <c r="Q10" s="39"/>
      <c r="R10" s="39"/>
      <c r="S10" s="39"/>
      <c r="T10" s="39"/>
      <c r="U10" s="39"/>
      <c r="V10" s="39"/>
      <c r="W10" s="39"/>
    </row>
    <row r="11" spans="1:23" ht="15.75" customHeight="1" x14ac:dyDescent="0.35">
      <c r="A11" s="39"/>
      <c r="B11" s="99" t="s">
        <v>98</v>
      </c>
      <c r="C11" s="94"/>
      <c r="D11" s="87"/>
      <c r="E11" s="46">
        <f>SUMIF(C19:V19,"true",C16:V16)</f>
        <v>0</v>
      </c>
      <c r="F11" s="40"/>
      <c r="G11" s="40"/>
      <c r="H11" s="40"/>
      <c r="I11" s="40"/>
      <c r="J11" s="40"/>
      <c r="K11" s="40"/>
      <c r="L11" s="40"/>
      <c r="M11" s="40"/>
      <c r="N11" s="40"/>
      <c r="O11" s="39"/>
      <c r="P11" s="39"/>
      <c r="Q11" s="39"/>
      <c r="R11" s="39"/>
      <c r="S11" s="39"/>
      <c r="T11" s="39"/>
      <c r="U11" s="39"/>
      <c r="V11" s="39"/>
      <c r="W11" s="39"/>
    </row>
    <row r="12" spans="1:23" ht="12" customHeight="1" x14ac:dyDescent="0.35">
      <c r="A12" s="39"/>
      <c r="B12" s="50"/>
      <c r="C12" s="50"/>
      <c r="D12" s="50"/>
      <c r="E12" s="50"/>
      <c r="F12" s="40"/>
      <c r="G12" s="40"/>
      <c r="H12" s="40"/>
      <c r="I12" s="40"/>
      <c r="J12" s="40"/>
      <c r="K12" s="40"/>
      <c r="L12" s="40"/>
      <c r="M12" s="40"/>
      <c r="N12" s="40"/>
      <c r="O12" s="39"/>
      <c r="P12" s="39"/>
      <c r="Q12" s="39"/>
      <c r="R12" s="39"/>
      <c r="S12" s="39"/>
      <c r="T12" s="39"/>
      <c r="U12" s="39"/>
      <c r="V12" s="39"/>
      <c r="W12" s="39"/>
    </row>
    <row r="13" spans="1:23" ht="15.5" x14ac:dyDescent="0.35">
      <c r="A13" s="39"/>
      <c r="B13" s="95" t="s">
        <v>99</v>
      </c>
      <c r="C13" s="96"/>
      <c r="D13" s="96"/>
      <c r="E13" s="97"/>
      <c r="F13" s="51"/>
      <c r="G13" s="40"/>
      <c r="H13" s="40"/>
      <c r="I13" s="40"/>
      <c r="J13" s="40"/>
      <c r="K13" s="40"/>
      <c r="L13" s="40"/>
      <c r="M13" s="40"/>
      <c r="N13" s="40"/>
      <c r="O13" s="39"/>
      <c r="P13" s="39"/>
      <c r="Q13" s="39"/>
      <c r="R13" s="39"/>
      <c r="S13" s="39"/>
      <c r="T13" s="39"/>
      <c r="U13" s="39"/>
      <c r="V13" s="39"/>
      <c r="W13" s="39"/>
    </row>
    <row r="14" spans="1:23" ht="15" customHeight="1" x14ac:dyDescent="0.35">
      <c r="A14" s="39"/>
      <c r="B14" s="41"/>
      <c r="C14" s="52" t="s">
        <v>100</v>
      </c>
      <c r="D14" s="52" t="s">
        <v>101</v>
      </c>
      <c r="E14" s="52" t="s">
        <v>102</v>
      </c>
      <c r="F14" s="52" t="s">
        <v>103</v>
      </c>
      <c r="G14" s="52" t="s">
        <v>104</v>
      </c>
      <c r="H14" s="52" t="s">
        <v>105</v>
      </c>
      <c r="I14" s="52" t="s">
        <v>106</v>
      </c>
      <c r="J14" s="52" t="s">
        <v>107</v>
      </c>
      <c r="K14" s="52" t="s">
        <v>108</v>
      </c>
      <c r="L14" s="52" t="s">
        <v>109</v>
      </c>
      <c r="M14" s="52" t="s">
        <v>110</v>
      </c>
      <c r="N14" s="52" t="s">
        <v>111</v>
      </c>
      <c r="O14" s="52" t="s">
        <v>112</v>
      </c>
      <c r="P14" s="52" t="s">
        <v>113</v>
      </c>
      <c r="Q14" s="52" t="s">
        <v>114</v>
      </c>
      <c r="R14" s="52" t="s">
        <v>115</v>
      </c>
      <c r="S14" s="52" t="s">
        <v>116</v>
      </c>
      <c r="T14" s="52" t="s">
        <v>117</v>
      </c>
      <c r="U14" s="52" t="s">
        <v>118</v>
      </c>
      <c r="V14" s="52" t="s">
        <v>119</v>
      </c>
      <c r="W14" s="39"/>
    </row>
    <row r="15" spans="1:23" ht="15" customHeight="1" x14ac:dyDescent="0.35">
      <c r="A15" s="39"/>
      <c r="B15" s="41" t="s">
        <v>120</v>
      </c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39"/>
    </row>
    <row r="16" spans="1:23" ht="15" customHeight="1" x14ac:dyDescent="0.35">
      <c r="A16" s="39"/>
      <c r="B16" s="41" t="s">
        <v>121</v>
      </c>
      <c r="C16" s="53"/>
      <c r="D16" s="54"/>
      <c r="E16" s="54"/>
      <c r="F16" s="54"/>
      <c r="G16" s="54"/>
      <c r="H16" s="54"/>
      <c r="I16" s="54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39"/>
    </row>
    <row r="17" spans="1:23" ht="15" customHeight="1" x14ac:dyDescent="0.35">
      <c r="A17" s="39"/>
      <c r="B17" s="41" t="s">
        <v>122</v>
      </c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39"/>
    </row>
    <row r="18" spans="1:23" ht="15" customHeight="1" x14ac:dyDescent="0.35">
      <c r="A18" s="39"/>
      <c r="B18" s="41" t="s">
        <v>123</v>
      </c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39"/>
    </row>
    <row r="19" spans="1:23" ht="15" customHeight="1" x14ac:dyDescent="0.35">
      <c r="A19" s="39"/>
      <c r="B19" s="55" t="s">
        <v>124</v>
      </c>
      <c r="C19" s="56" t="b">
        <v>0</v>
      </c>
      <c r="D19" s="52" t="b">
        <v>0</v>
      </c>
      <c r="E19" s="52" t="b">
        <v>0</v>
      </c>
      <c r="F19" s="52" t="b">
        <v>0</v>
      </c>
      <c r="G19" s="52" t="b">
        <v>0</v>
      </c>
      <c r="H19" s="52" t="b">
        <v>0</v>
      </c>
      <c r="I19" s="52" t="b">
        <v>0</v>
      </c>
      <c r="J19" s="52" t="b">
        <v>0</v>
      </c>
      <c r="K19" s="52" t="b">
        <v>0</v>
      </c>
      <c r="L19" s="52" t="b">
        <v>0</v>
      </c>
      <c r="M19" s="52" t="b">
        <v>0</v>
      </c>
      <c r="N19" s="52" t="b">
        <v>0</v>
      </c>
      <c r="O19" s="52" t="b">
        <v>0</v>
      </c>
      <c r="P19" s="52" t="b">
        <v>0</v>
      </c>
      <c r="Q19" s="52" t="b">
        <v>0</v>
      </c>
      <c r="R19" s="52" t="b">
        <v>0</v>
      </c>
      <c r="S19" s="52" t="b">
        <v>0</v>
      </c>
      <c r="T19" s="52" t="b">
        <v>0</v>
      </c>
      <c r="U19" s="52" t="b">
        <v>0</v>
      </c>
      <c r="V19" s="52" t="b">
        <v>0</v>
      </c>
      <c r="W19" s="39"/>
    </row>
    <row r="20" spans="1:23" ht="15" customHeight="1" x14ac:dyDescent="0.35">
      <c r="A20" s="39"/>
      <c r="B20" s="57" t="s">
        <v>86</v>
      </c>
      <c r="C20" s="58">
        <f>MAX(C16:V16)</f>
        <v>0</v>
      </c>
      <c r="D20" s="59"/>
      <c r="E20" s="60"/>
      <c r="F20" s="61"/>
      <c r="G20" s="61"/>
      <c r="H20" s="61"/>
      <c r="I20" s="61"/>
      <c r="J20" s="61"/>
      <c r="K20" s="61"/>
      <c r="L20" s="61"/>
      <c r="M20" s="61"/>
      <c r="N20" s="61"/>
      <c r="O20" s="39"/>
      <c r="P20" s="39"/>
      <c r="Q20" s="39"/>
      <c r="R20" s="39"/>
      <c r="S20" s="39"/>
      <c r="T20" s="39"/>
      <c r="U20" s="39"/>
      <c r="V20" s="39"/>
      <c r="W20" s="39"/>
    </row>
    <row r="21" spans="1:23" ht="15" customHeight="1" x14ac:dyDescent="0.35">
      <c r="A21" s="39"/>
      <c r="B21" s="62" t="s">
        <v>89</v>
      </c>
      <c r="C21" s="63" t="str">
        <f>IFERROR(AVERAGE(C16:V16),"0")</f>
        <v>0</v>
      </c>
      <c r="D21" s="60"/>
      <c r="E21" s="60"/>
      <c r="F21" s="61"/>
      <c r="G21" s="61"/>
      <c r="H21" s="61"/>
      <c r="I21" s="61"/>
      <c r="J21" s="61"/>
      <c r="K21" s="61"/>
      <c r="L21" s="61"/>
      <c r="M21" s="61"/>
      <c r="N21" s="61"/>
      <c r="O21" s="39"/>
      <c r="P21" s="39"/>
      <c r="Q21" s="39"/>
      <c r="R21" s="39"/>
      <c r="S21" s="39"/>
      <c r="T21" s="39"/>
      <c r="U21" s="39"/>
      <c r="V21" s="39"/>
      <c r="W21" s="39"/>
    </row>
    <row r="22" spans="1:23" ht="15" customHeight="1" x14ac:dyDescent="0.35">
      <c r="A22" s="39"/>
      <c r="B22" s="64" t="s">
        <v>125</v>
      </c>
      <c r="C22" s="65">
        <f>SUM(C16:V16)</f>
        <v>0</v>
      </c>
      <c r="D22" s="60"/>
      <c r="E22" s="60"/>
      <c r="F22" s="61"/>
      <c r="G22" s="61"/>
      <c r="H22" s="61"/>
      <c r="I22" s="61"/>
      <c r="J22" s="61"/>
      <c r="K22" s="61"/>
      <c r="L22" s="61"/>
      <c r="M22" s="61"/>
      <c r="N22" s="61"/>
      <c r="O22" s="39"/>
      <c r="P22" s="39"/>
      <c r="Q22" s="39"/>
      <c r="R22" s="39"/>
      <c r="S22" s="39"/>
      <c r="T22" s="39"/>
      <c r="U22" s="39"/>
      <c r="V22" s="39"/>
      <c r="W22" s="39"/>
    </row>
    <row r="23" spans="1:23" ht="15" customHeight="1" x14ac:dyDescent="0.35">
      <c r="A23" s="39"/>
      <c r="B23" s="61"/>
      <c r="C23" s="39"/>
      <c r="D23" s="39"/>
      <c r="E23" s="39"/>
      <c r="F23" s="66"/>
      <c r="G23" s="66"/>
      <c r="H23" s="66"/>
      <c r="I23" s="40"/>
      <c r="J23" s="40"/>
      <c r="K23" s="40"/>
      <c r="L23" s="40"/>
      <c r="M23" s="40"/>
      <c r="N23" s="40"/>
      <c r="O23" s="39"/>
      <c r="P23" s="39"/>
      <c r="Q23" s="39"/>
      <c r="R23" s="39"/>
      <c r="S23" s="39"/>
      <c r="T23" s="39"/>
      <c r="U23" s="39"/>
      <c r="V23" s="39"/>
      <c r="W23" s="39"/>
    </row>
    <row r="24" spans="1:23" ht="15" customHeight="1" x14ac:dyDescent="0.35">
      <c r="A24" s="39"/>
      <c r="B24" s="99" t="s">
        <v>152</v>
      </c>
      <c r="C24" s="94"/>
      <c r="D24" s="87"/>
      <c r="E24" s="46">
        <f>SUM(E10:E11)</f>
        <v>0</v>
      </c>
      <c r="F24" s="61"/>
      <c r="G24" s="61"/>
      <c r="H24" s="61"/>
      <c r="I24" s="40"/>
      <c r="J24" s="40"/>
      <c r="K24" s="40"/>
      <c r="L24" s="40"/>
      <c r="M24" s="40"/>
      <c r="N24" s="40"/>
      <c r="O24" s="39"/>
      <c r="P24" s="39"/>
      <c r="Q24" s="39"/>
      <c r="R24" s="39"/>
      <c r="S24" s="39"/>
      <c r="T24" s="39"/>
      <c r="U24" s="39"/>
      <c r="V24" s="39"/>
      <c r="W24" s="39"/>
    </row>
    <row r="25" spans="1:23" ht="15" customHeight="1" x14ac:dyDescent="0.35">
      <c r="A25" s="39"/>
      <c r="B25" s="61"/>
      <c r="C25" s="61"/>
      <c r="D25" s="61"/>
      <c r="E25" s="61"/>
      <c r="F25" s="61"/>
      <c r="G25" s="61"/>
      <c r="H25" s="61"/>
      <c r="I25" s="40"/>
      <c r="J25" s="40"/>
      <c r="K25" s="40"/>
      <c r="L25" s="40"/>
      <c r="M25" s="40"/>
      <c r="N25" s="40"/>
      <c r="O25" s="39"/>
      <c r="P25" s="39"/>
      <c r="Q25" s="39"/>
      <c r="R25" s="39"/>
      <c r="S25" s="39"/>
      <c r="T25" s="39"/>
      <c r="U25" s="39"/>
      <c r="V25" s="39"/>
      <c r="W25" s="39"/>
    </row>
    <row r="26" spans="1:23" ht="15" customHeight="1" x14ac:dyDescent="0.35">
      <c r="A26" s="39"/>
      <c r="B26" s="61"/>
      <c r="C26" s="61"/>
      <c r="D26" s="61"/>
      <c r="E26" s="61"/>
      <c r="F26" s="61"/>
      <c r="G26" s="61"/>
      <c r="H26" s="61"/>
      <c r="I26" s="40"/>
      <c r="J26" s="40"/>
      <c r="K26" s="40"/>
      <c r="L26" s="40"/>
      <c r="M26" s="40"/>
      <c r="N26" s="40"/>
      <c r="O26" s="39"/>
      <c r="P26" s="39"/>
      <c r="Q26" s="39"/>
      <c r="R26" s="39"/>
      <c r="S26" s="39"/>
      <c r="T26" s="39"/>
      <c r="U26" s="39"/>
      <c r="V26" s="39"/>
      <c r="W26" s="39"/>
    </row>
    <row r="27" spans="1:23" ht="15" customHeight="1" x14ac:dyDescent="0.35">
      <c r="A27" s="39"/>
      <c r="B27" s="95" t="s">
        <v>127</v>
      </c>
      <c r="C27" s="96"/>
      <c r="D27" s="96"/>
      <c r="E27" s="97"/>
      <c r="F27" s="40"/>
      <c r="G27" s="40"/>
      <c r="H27" s="40"/>
      <c r="I27" s="40"/>
      <c r="J27" s="40"/>
      <c r="K27" s="40"/>
      <c r="L27" s="40"/>
      <c r="M27" s="40"/>
      <c r="N27" s="40"/>
      <c r="O27" s="39"/>
      <c r="P27" s="39"/>
      <c r="Q27" s="39"/>
      <c r="R27" s="39"/>
      <c r="S27" s="39"/>
      <c r="T27" s="39"/>
      <c r="U27" s="39"/>
      <c r="V27" s="39"/>
      <c r="W27" s="39"/>
    </row>
    <row r="28" spans="1:23" ht="15" customHeight="1" x14ac:dyDescent="0.35">
      <c r="A28" s="39"/>
      <c r="B28" s="45"/>
      <c r="C28" s="67" t="s">
        <v>128</v>
      </c>
      <c r="D28" s="67" t="s">
        <v>129</v>
      </c>
      <c r="E28" s="67" t="s">
        <v>130</v>
      </c>
      <c r="F28" s="52" t="s">
        <v>131</v>
      </c>
      <c r="G28" s="52" t="s">
        <v>132</v>
      </c>
      <c r="H28" s="52" t="s">
        <v>133</v>
      </c>
      <c r="I28" s="52" t="s">
        <v>134</v>
      </c>
      <c r="J28" s="52" t="s">
        <v>135</v>
      </c>
      <c r="K28" s="52" t="s">
        <v>136</v>
      </c>
      <c r="L28" s="52" t="s">
        <v>137</v>
      </c>
      <c r="M28" s="52" t="s">
        <v>138</v>
      </c>
      <c r="N28" s="52" t="s">
        <v>139</v>
      </c>
      <c r="O28" s="52" t="s">
        <v>140</v>
      </c>
      <c r="P28" s="52" t="s">
        <v>141</v>
      </c>
      <c r="Q28" s="52" t="s">
        <v>142</v>
      </c>
      <c r="R28" s="52" t="s">
        <v>143</v>
      </c>
      <c r="S28" s="52" t="s">
        <v>144</v>
      </c>
      <c r="T28" s="52" t="s">
        <v>145</v>
      </c>
      <c r="U28" s="52" t="s">
        <v>146</v>
      </c>
      <c r="V28" s="52" t="s">
        <v>147</v>
      </c>
      <c r="W28" s="39"/>
    </row>
    <row r="29" spans="1:23" ht="15" customHeight="1" x14ac:dyDescent="0.35">
      <c r="A29" s="39"/>
      <c r="B29" s="41" t="s">
        <v>120</v>
      </c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39"/>
    </row>
    <row r="30" spans="1:23" ht="15" customHeight="1" x14ac:dyDescent="0.35">
      <c r="A30" s="39"/>
      <c r="B30" s="41" t="s">
        <v>148</v>
      </c>
      <c r="C30" s="69"/>
      <c r="D30" s="54"/>
      <c r="E30" s="54"/>
      <c r="F30" s="69"/>
      <c r="G30" s="54"/>
      <c r="H30" s="54"/>
      <c r="I30" s="54"/>
      <c r="J30" s="54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39"/>
    </row>
    <row r="31" spans="1:23" ht="15" customHeight="1" x14ac:dyDescent="0.35">
      <c r="A31" s="39"/>
      <c r="B31" s="55" t="s">
        <v>149</v>
      </c>
      <c r="C31" s="74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39"/>
    </row>
    <row r="32" spans="1:23" ht="15" customHeight="1" x14ac:dyDescent="0.35">
      <c r="A32" s="39"/>
      <c r="B32" s="71" t="s">
        <v>150</v>
      </c>
      <c r="C32" s="72">
        <f>SUM(C30:V30)</f>
        <v>0</v>
      </c>
      <c r="D32" s="60"/>
      <c r="E32" s="60"/>
      <c r="F32" s="61"/>
      <c r="G32" s="61"/>
      <c r="H32" s="61"/>
      <c r="I32" s="61"/>
      <c r="J32" s="61"/>
      <c r="K32" s="61"/>
      <c r="L32" s="61"/>
      <c r="M32" s="61"/>
      <c r="N32" s="61"/>
      <c r="O32" s="39"/>
      <c r="P32" s="39"/>
      <c r="Q32" s="39"/>
      <c r="R32" s="39"/>
      <c r="S32" s="39"/>
      <c r="T32" s="39"/>
      <c r="U32" s="39"/>
      <c r="V32" s="39"/>
      <c r="W32" s="39"/>
    </row>
    <row r="33" spans="1:23" ht="12" customHeight="1" x14ac:dyDescent="0.35">
      <c r="A33" s="39"/>
      <c r="B33" s="50"/>
      <c r="C33" s="50"/>
      <c r="D33" s="50"/>
      <c r="E33" s="50"/>
      <c r="F33" s="50"/>
      <c r="G33" s="50"/>
      <c r="H33" s="40"/>
      <c r="I33" s="40"/>
      <c r="J33" s="40"/>
      <c r="K33" s="40"/>
      <c r="L33" s="40"/>
      <c r="M33" s="40"/>
      <c r="N33" s="40"/>
      <c r="O33" s="39"/>
      <c r="P33" s="39"/>
      <c r="Q33" s="39"/>
      <c r="R33" s="39"/>
      <c r="S33" s="39"/>
      <c r="T33" s="39"/>
      <c r="U33" s="39"/>
      <c r="V33" s="39"/>
      <c r="W33" s="39"/>
    </row>
    <row r="34" spans="1:23" ht="12" customHeight="1" x14ac:dyDescent="0.35">
      <c r="A34" s="39"/>
      <c r="B34" s="73" t="s">
        <v>151</v>
      </c>
      <c r="C34" s="73"/>
      <c r="D34" s="73"/>
      <c r="E34" s="73"/>
      <c r="F34" s="73"/>
      <c r="G34" s="73"/>
      <c r="H34" s="40"/>
      <c r="I34" s="40"/>
      <c r="J34" s="40"/>
      <c r="K34" s="40"/>
      <c r="L34" s="40"/>
      <c r="M34" s="40"/>
      <c r="N34" s="40"/>
      <c r="O34" s="39"/>
      <c r="P34" s="39"/>
      <c r="Q34" s="39"/>
      <c r="R34" s="39"/>
      <c r="S34" s="39"/>
      <c r="T34" s="39"/>
      <c r="U34" s="39"/>
      <c r="V34" s="39"/>
      <c r="W34" s="39"/>
    </row>
    <row r="35" spans="1:23" ht="193.5" customHeight="1" x14ac:dyDescent="0.35">
      <c r="A35" s="39"/>
      <c r="B35" s="100"/>
      <c r="C35" s="101"/>
      <c r="D35" s="101"/>
      <c r="E35" s="101"/>
      <c r="F35" s="101"/>
      <c r="G35" s="101"/>
      <c r="H35" s="40"/>
      <c r="I35" s="40"/>
      <c r="J35" s="40"/>
      <c r="K35" s="40"/>
      <c r="L35" s="40"/>
      <c r="M35" s="40"/>
      <c r="N35" s="40"/>
      <c r="O35" s="39"/>
      <c r="P35" s="39"/>
      <c r="Q35" s="39"/>
      <c r="R35" s="39"/>
      <c r="S35" s="39"/>
      <c r="T35" s="39"/>
      <c r="U35" s="39"/>
      <c r="V35" s="39"/>
      <c r="W35" s="39"/>
    </row>
    <row r="36" spans="1:23" ht="12" customHeight="1" x14ac:dyDescent="0.35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</row>
  </sheetData>
  <mergeCells count="23">
    <mergeCell ref="B11:D11"/>
    <mergeCell ref="B13:E13"/>
    <mergeCell ref="B24:D24"/>
    <mergeCell ref="B27:E27"/>
    <mergeCell ref="B35:G35"/>
    <mergeCell ref="G5:I5"/>
    <mergeCell ref="G8:I8"/>
    <mergeCell ref="G9:J9"/>
    <mergeCell ref="B10:D10"/>
    <mergeCell ref="G10:I10"/>
    <mergeCell ref="B5:D5"/>
    <mergeCell ref="B6:D6"/>
    <mergeCell ref="G6:I6"/>
    <mergeCell ref="B7:D7"/>
    <mergeCell ref="G7:I7"/>
    <mergeCell ref="B8:D8"/>
    <mergeCell ref="B9:D9"/>
    <mergeCell ref="B1:J1"/>
    <mergeCell ref="B3:E3"/>
    <mergeCell ref="G3:J3"/>
    <mergeCell ref="L3:M3"/>
    <mergeCell ref="B4:D4"/>
    <mergeCell ref="G4:J4"/>
  </mergeCells>
  <pageMargins left="0.7" right="0.7" top="0.75" bottom="0.75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 xr:uid="{00000000-0002-0000-0300-000000000000}">
          <x14:formula1>
            <xm:f>Dropdowns!$A$1:$A$3</xm:f>
          </x14:formula1>
          <xm:sqref>E4 J5:J6 E7</xm:sqref>
        </x14:dataValidation>
        <x14:dataValidation type="list" allowBlank="1" showErrorMessage="1" xr:uid="{00000000-0002-0000-0300-000001000000}">
          <x14:formula1>
            <xm:f>Dropdowns!$B$1:$B$9</xm:f>
          </x14:formula1>
          <xm:sqref>E5</xm:sqref>
        </x14:dataValidation>
        <x14:dataValidation type="list" allowBlank="1" showErrorMessage="1" xr:uid="{00000000-0002-0000-0300-000002000000}">
          <x14:formula1>
            <xm:f>Dropdowns!$E$12:$E$21</xm:f>
          </x14:formula1>
          <xm:sqref>C18:V18</xm:sqref>
        </x14:dataValidation>
        <x14:dataValidation type="list" allowBlank="1" showErrorMessage="1" xr:uid="{00000000-0002-0000-0300-000003000000}">
          <x14:formula1>
            <xm:f>Dropdowns!$N$2:$N$22</xm:f>
          </x14:formula1>
          <xm:sqref>J8</xm:sqref>
        </x14:dataValidation>
        <x14:dataValidation type="list" allowBlank="1" showErrorMessage="1" xr:uid="{00000000-0002-0000-0300-000004000000}">
          <x14:formula1>
            <xm:f>Dropdowns!$N$2:$N$17</xm:f>
          </x14:formula1>
          <xm:sqref>E6 J7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DEEAF6"/>
  </sheetPr>
  <dimension ref="A1:W36"/>
  <sheetViews>
    <sheetView topLeftCell="A3" workbookViewId="0">
      <selection activeCell="M7" sqref="M7"/>
    </sheetView>
  </sheetViews>
  <sheetFormatPr defaultColWidth="11.25" defaultRowHeight="15" customHeight="1" x14ac:dyDescent="0.35"/>
  <cols>
    <col min="1" max="1" width="2" customWidth="1"/>
    <col min="2" max="2" width="11.08203125" customWidth="1"/>
    <col min="3" max="23" width="7.75" customWidth="1"/>
  </cols>
  <sheetData>
    <row r="1" spans="1:23" ht="18.5" x14ac:dyDescent="0.35">
      <c r="A1" s="39"/>
      <c r="B1" s="93" t="s">
        <v>78</v>
      </c>
      <c r="C1" s="94"/>
      <c r="D1" s="94"/>
      <c r="E1" s="94"/>
      <c r="F1" s="94"/>
      <c r="G1" s="94"/>
      <c r="H1" s="94"/>
      <c r="I1" s="94"/>
      <c r="J1" s="87"/>
      <c r="K1" s="40"/>
      <c r="L1" s="40"/>
      <c r="M1" s="40"/>
      <c r="N1" s="40"/>
      <c r="O1" s="39"/>
      <c r="P1" s="39"/>
      <c r="Q1" s="39"/>
      <c r="R1" s="39"/>
      <c r="S1" s="39"/>
      <c r="T1" s="39"/>
      <c r="U1" s="39"/>
      <c r="V1" s="39"/>
      <c r="W1" s="39"/>
    </row>
    <row r="2" spans="1:23" ht="12" customHeight="1" x14ac:dyDescent="0.35">
      <c r="A2" s="39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39"/>
      <c r="P2" s="39"/>
      <c r="Q2" s="39"/>
      <c r="R2" s="39"/>
      <c r="S2" s="39"/>
      <c r="T2" s="39"/>
      <c r="U2" s="39"/>
      <c r="V2" s="39"/>
      <c r="W2" s="39"/>
    </row>
    <row r="3" spans="1:23" ht="15.5" x14ac:dyDescent="0.35">
      <c r="A3" s="39"/>
      <c r="B3" s="95" t="s">
        <v>79</v>
      </c>
      <c r="C3" s="96"/>
      <c r="D3" s="96"/>
      <c r="E3" s="97"/>
      <c r="F3" s="40"/>
      <c r="G3" s="95" t="s">
        <v>80</v>
      </c>
      <c r="H3" s="96"/>
      <c r="I3" s="96"/>
      <c r="J3" s="97"/>
      <c r="K3" s="40"/>
      <c r="L3" s="98" t="s">
        <v>81</v>
      </c>
      <c r="M3" s="87"/>
      <c r="N3" s="40"/>
      <c r="O3" s="39"/>
      <c r="P3" s="39"/>
      <c r="Q3" s="39"/>
      <c r="R3" s="39"/>
      <c r="S3" s="39"/>
      <c r="T3" s="39"/>
      <c r="U3" s="39"/>
      <c r="V3" s="39"/>
      <c r="W3" s="39"/>
    </row>
    <row r="4" spans="1:23" ht="15" customHeight="1" x14ac:dyDescent="0.35">
      <c r="A4" s="39"/>
      <c r="B4" s="99" t="s">
        <v>82</v>
      </c>
      <c r="C4" s="94"/>
      <c r="D4" s="87"/>
      <c r="E4" s="41"/>
      <c r="F4" s="40"/>
      <c r="G4" s="99"/>
      <c r="H4" s="94"/>
      <c r="I4" s="94"/>
      <c r="J4" s="87"/>
      <c r="K4" s="40"/>
      <c r="L4" s="42" t="s">
        <v>209</v>
      </c>
      <c r="M4" s="43">
        <f>C22</f>
        <v>0</v>
      </c>
      <c r="N4" s="40"/>
      <c r="O4" s="39"/>
      <c r="P4" s="39"/>
      <c r="Q4" s="39"/>
      <c r="R4" s="39"/>
      <c r="S4" s="39"/>
      <c r="T4" s="39"/>
      <c r="U4" s="39"/>
      <c r="V4" s="39"/>
      <c r="W4" s="39"/>
    </row>
    <row r="5" spans="1:23" ht="15" customHeight="1" x14ac:dyDescent="0.35">
      <c r="A5" s="39"/>
      <c r="B5" s="99" t="s">
        <v>84</v>
      </c>
      <c r="C5" s="94"/>
      <c r="D5" s="87"/>
      <c r="E5" s="41"/>
      <c r="F5" s="40"/>
      <c r="G5" s="99" t="s">
        <v>85</v>
      </c>
      <c r="H5" s="94"/>
      <c r="I5" s="87"/>
      <c r="J5" s="41" t="str">
        <f>IF(SUM(C30:V30)&gt;1500,"Ja","Nee")</f>
        <v>Nee</v>
      </c>
      <c r="K5" s="40"/>
      <c r="L5" s="42" t="s">
        <v>86</v>
      </c>
      <c r="M5" s="43">
        <f>C20</f>
        <v>0</v>
      </c>
      <c r="N5" s="40"/>
      <c r="O5" s="39"/>
      <c r="P5" s="39"/>
      <c r="Q5" s="39"/>
      <c r="R5" s="39"/>
      <c r="S5" s="39"/>
      <c r="T5" s="39"/>
      <c r="U5" s="39"/>
      <c r="V5" s="39"/>
      <c r="W5" s="39"/>
    </row>
    <row r="6" spans="1:23" ht="15" customHeight="1" x14ac:dyDescent="0.35">
      <c r="A6" s="39"/>
      <c r="B6" s="99" t="s">
        <v>87</v>
      </c>
      <c r="C6" s="94"/>
      <c r="D6" s="87"/>
      <c r="E6" s="42">
        <v>0</v>
      </c>
      <c r="F6" s="40"/>
      <c r="G6" s="99" t="s">
        <v>88</v>
      </c>
      <c r="H6" s="94"/>
      <c r="I6" s="87"/>
      <c r="J6" s="41"/>
      <c r="K6" s="40"/>
      <c r="L6" s="42" t="s">
        <v>89</v>
      </c>
      <c r="M6" s="108" t="str">
        <f>C21</f>
        <v>0</v>
      </c>
      <c r="N6" s="40"/>
      <c r="O6" s="39"/>
      <c r="P6" s="39"/>
      <c r="Q6" s="39"/>
      <c r="R6" s="39"/>
      <c r="S6" s="39"/>
      <c r="T6" s="39"/>
      <c r="U6" s="39"/>
      <c r="V6" s="39"/>
      <c r="W6" s="39"/>
    </row>
    <row r="7" spans="1:23" ht="15" customHeight="1" x14ac:dyDescent="0.35">
      <c r="A7" s="39"/>
      <c r="B7" s="99" t="s">
        <v>90</v>
      </c>
      <c r="C7" s="94"/>
      <c r="D7" s="87"/>
      <c r="E7" s="45"/>
      <c r="F7" s="40"/>
      <c r="G7" s="99" t="s">
        <v>91</v>
      </c>
      <c r="H7" s="94"/>
      <c r="I7" s="87"/>
      <c r="J7" s="42"/>
      <c r="K7" s="40"/>
      <c r="L7" s="40"/>
      <c r="M7" s="40"/>
      <c r="N7" s="40"/>
      <c r="O7" s="39"/>
      <c r="P7" s="39"/>
      <c r="Q7" s="39"/>
      <c r="R7" s="39"/>
      <c r="S7" s="39"/>
      <c r="T7" s="39"/>
      <c r="U7" s="39"/>
      <c r="V7" s="39"/>
      <c r="W7" s="39"/>
    </row>
    <row r="8" spans="1:23" ht="15" customHeight="1" x14ac:dyDescent="0.35">
      <c r="A8" s="39"/>
      <c r="B8" s="99" t="s">
        <v>92</v>
      </c>
      <c r="C8" s="94"/>
      <c r="D8" s="87"/>
      <c r="E8" s="46"/>
      <c r="F8" s="40"/>
      <c r="G8" s="99" t="s">
        <v>93</v>
      </c>
      <c r="H8" s="94"/>
      <c r="I8" s="87"/>
      <c r="J8" s="42"/>
      <c r="K8" s="40"/>
      <c r="L8" s="42" t="s">
        <v>94</v>
      </c>
      <c r="M8" s="47">
        <f ca="1">'Algemene info'!B6</f>
        <v>126</v>
      </c>
      <c r="N8" s="40"/>
      <c r="O8" s="39"/>
      <c r="P8" s="39"/>
      <c r="Q8" s="39"/>
      <c r="R8" s="39"/>
      <c r="S8" s="39"/>
      <c r="T8" s="39"/>
      <c r="U8" s="39"/>
      <c r="V8" s="39"/>
      <c r="W8" s="39"/>
    </row>
    <row r="9" spans="1:23" ht="15" customHeight="1" x14ac:dyDescent="0.35">
      <c r="A9" s="39"/>
      <c r="B9" s="99" t="s">
        <v>95</v>
      </c>
      <c r="C9" s="94"/>
      <c r="D9" s="87"/>
      <c r="E9" s="48"/>
      <c r="F9" s="40"/>
      <c r="G9" s="99"/>
      <c r="H9" s="94"/>
      <c r="I9" s="94"/>
      <c r="J9" s="87"/>
      <c r="K9" s="40"/>
      <c r="L9" s="40"/>
      <c r="M9" s="40"/>
      <c r="N9" s="40"/>
      <c r="O9" s="39"/>
      <c r="P9" s="39"/>
      <c r="Q9" s="39"/>
      <c r="R9" s="39"/>
      <c r="S9" s="39"/>
      <c r="T9" s="39"/>
      <c r="U9" s="39"/>
      <c r="V9" s="39"/>
      <c r="W9" s="39"/>
    </row>
    <row r="10" spans="1:23" ht="15" customHeight="1" x14ac:dyDescent="0.35">
      <c r="A10" s="39"/>
      <c r="B10" s="99" t="s">
        <v>96</v>
      </c>
      <c r="C10" s="94"/>
      <c r="D10" s="87"/>
      <c r="E10" s="46">
        <f>E9-E8</f>
        <v>0</v>
      </c>
      <c r="F10" s="40"/>
      <c r="G10" s="99" t="s">
        <v>97</v>
      </c>
      <c r="H10" s="94"/>
      <c r="I10" s="87"/>
      <c r="J10" s="49">
        <f ca="1">30+(M8*30)</f>
        <v>3810</v>
      </c>
      <c r="K10" s="40"/>
      <c r="L10" s="40"/>
      <c r="M10" s="40"/>
      <c r="N10" s="40"/>
      <c r="O10" s="39"/>
      <c r="P10" s="39"/>
      <c r="Q10" s="39"/>
      <c r="R10" s="39"/>
      <c r="S10" s="39"/>
      <c r="T10" s="39"/>
      <c r="U10" s="39"/>
      <c r="V10" s="39"/>
      <c r="W10" s="39"/>
    </row>
    <row r="11" spans="1:23" ht="15.75" customHeight="1" x14ac:dyDescent="0.35">
      <c r="A11" s="39"/>
      <c r="B11" s="99" t="s">
        <v>98</v>
      </c>
      <c r="C11" s="94"/>
      <c r="D11" s="87"/>
      <c r="E11" s="46">
        <f>SUMIF(C19:V19,"true",C16:V16)</f>
        <v>0</v>
      </c>
      <c r="F11" s="40"/>
      <c r="G11" s="40"/>
      <c r="H11" s="40"/>
      <c r="I11" s="40"/>
      <c r="J11" s="40"/>
      <c r="K11" s="40"/>
      <c r="L11" s="40"/>
      <c r="M11" s="40"/>
      <c r="N11" s="40"/>
      <c r="O11" s="39"/>
      <c r="P11" s="39"/>
      <c r="Q11" s="39"/>
      <c r="R11" s="39"/>
      <c r="S11" s="39"/>
      <c r="T11" s="39"/>
      <c r="U11" s="39"/>
      <c r="V11" s="39"/>
      <c r="W11" s="39"/>
    </row>
    <row r="12" spans="1:23" ht="12" customHeight="1" x14ac:dyDescent="0.35">
      <c r="A12" s="39"/>
      <c r="B12" s="50"/>
      <c r="C12" s="50"/>
      <c r="D12" s="50"/>
      <c r="E12" s="50"/>
      <c r="F12" s="40"/>
      <c r="G12" s="40"/>
      <c r="H12" s="40"/>
      <c r="I12" s="40"/>
      <c r="J12" s="40"/>
      <c r="K12" s="40"/>
      <c r="L12" s="40"/>
      <c r="M12" s="40"/>
      <c r="N12" s="40"/>
      <c r="O12" s="39"/>
      <c r="P12" s="39"/>
      <c r="Q12" s="39"/>
      <c r="R12" s="39"/>
      <c r="S12" s="39"/>
      <c r="T12" s="39"/>
      <c r="U12" s="39"/>
      <c r="V12" s="39"/>
      <c r="W12" s="39"/>
    </row>
    <row r="13" spans="1:23" ht="15.5" x14ac:dyDescent="0.35">
      <c r="A13" s="39"/>
      <c r="B13" s="95" t="s">
        <v>99</v>
      </c>
      <c r="C13" s="96"/>
      <c r="D13" s="96"/>
      <c r="E13" s="97"/>
      <c r="F13" s="51"/>
      <c r="G13" s="40"/>
      <c r="H13" s="40"/>
      <c r="I13" s="40"/>
      <c r="J13" s="40"/>
      <c r="K13" s="40"/>
      <c r="L13" s="40"/>
      <c r="M13" s="40"/>
      <c r="N13" s="40"/>
      <c r="O13" s="39"/>
      <c r="P13" s="39"/>
      <c r="Q13" s="39"/>
      <c r="R13" s="39"/>
      <c r="S13" s="39"/>
      <c r="T13" s="39"/>
      <c r="U13" s="39"/>
      <c r="V13" s="39"/>
      <c r="W13" s="39"/>
    </row>
    <row r="14" spans="1:23" ht="15" customHeight="1" x14ac:dyDescent="0.35">
      <c r="A14" s="39"/>
      <c r="B14" s="41"/>
      <c r="C14" s="52" t="s">
        <v>100</v>
      </c>
      <c r="D14" s="52" t="s">
        <v>101</v>
      </c>
      <c r="E14" s="52" t="s">
        <v>102</v>
      </c>
      <c r="F14" s="52" t="s">
        <v>103</v>
      </c>
      <c r="G14" s="52" t="s">
        <v>104</v>
      </c>
      <c r="H14" s="52" t="s">
        <v>105</v>
      </c>
      <c r="I14" s="52" t="s">
        <v>106</v>
      </c>
      <c r="J14" s="52" t="s">
        <v>107</v>
      </c>
      <c r="K14" s="52" t="s">
        <v>108</v>
      </c>
      <c r="L14" s="52" t="s">
        <v>109</v>
      </c>
      <c r="M14" s="52" t="s">
        <v>110</v>
      </c>
      <c r="N14" s="52" t="s">
        <v>111</v>
      </c>
      <c r="O14" s="52" t="s">
        <v>112</v>
      </c>
      <c r="P14" s="52" t="s">
        <v>113</v>
      </c>
      <c r="Q14" s="52" t="s">
        <v>114</v>
      </c>
      <c r="R14" s="52" t="s">
        <v>115</v>
      </c>
      <c r="S14" s="52" t="s">
        <v>116</v>
      </c>
      <c r="T14" s="52" t="s">
        <v>117</v>
      </c>
      <c r="U14" s="52" t="s">
        <v>118</v>
      </c>
      <c r="V14" s="52" t="s">
        <v>119</v>
      </c>
      <c r="W14" s="39"/>
    </row>
    <row r="15" spans="1:23" ht="15" customHeight="1" x14ac:dyDescent="0.35">
      <c r="A15" s="39"/>
      <c r="B15" s="41" t="s">
        <v>120</v>
      </c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39"/>
    </row>
    <row r="16" spans="1:23" ht="15" customHeight="1" x14ac:dyDescent="0.35">
      <c r="A16" s="39"/>
      <c r="B16" s="41" t="s">
        <v>121</v>
      </c>
      <c r="C16" s="53"/>
      <c r="D16" s="54"/>
      <c r="E16" s="54"/>
      <c r="F16" s="54"/>
      <c r="G16" s="54"/>
      <c r="H16" s="54"/>
      <c r="I16" s="54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39"/>
    </row>
    <row r="17" spans="1:23" ht="15" customHeight="1" x14ac:dyDescent="0.35">
      <c r="A17" s="39"/>
      <c r="B17" s="41" t="s">
        <v>122</v>
      </c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39"/>
    </row>
    <row r="18" spans="1:23" ht="15" customHeight="1" x14ac:dyDescent="0.35">
      <c r="A18" s="39"/>
      <c r="B18" s="41" t="s">
        <v>123</v>
      </c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39"/>
    </row>
    <row r="19" spans="1:23" ht="15" customHeight="1" x14ac:dyDescent="0.35">
      <c r="A19" s="39"/>
      <c r="B19" s="55" t="s">
        <v>124</v>
      </c>
      <c r="C19" s="56" t="b">
        <v>0</v>
      </c>
      <c r="D19" s="52" t="b">
        <v>0</v>
      </c>
      <c r="E19" s="52" t="b">
        <v>1</v>
      </c>
      <c r="F19" s="52" t="b">
        <v>0</v>
      </c>
      <c r="G19" s="52" t="b">
        <v>0</v>
      </c>
      <c r="H19" s="52" t="b">
        <v>0</v>
      </c>
      <c r="I19" s="52" t="b">
        <v>0</v>
      </c>
      <c r="J19" s="52" t="b">
        <v>0</v>
      </c>
      <c r="K19" s="52" t="b">
        <v>0</v>
      </c>
      <c r="L19" s="52" t="b">
        <v>0</v>
      </c>
      <c r="M19" s="52" t="b">
        <v>0</v>
      </c>
      <c r="N19" s="52" t="b">
        <v>0</v>
      </c>
      <c r="O19" s="52" t="b">
        <v>0</v>
      </c>
      <c r="P19" s="52" t="b">
        <v>0</v>
      </c>
      <c r="Q19" s="52" t="b">
        <v>0</v>
      </c>
      <c r="R19" s="52" t="b">
        <v>0</v>
      </c>
      <c r="S19" s="52" t="b">
        <v>0</v>
      </c>
      <c r="T19" s="52" t="b">
        <v>0</v>
      </c>
      <c r="U19" s="52" t="b">
        <v>0</v>
      </c>
      <c r="V19" s="52" t="b">
        <v>0</v>
      </c>
      <c r="W19" s="39"/>
    </row>
    <row r="20" spans="1:23" ht="15" customHeight="1" x14ac:dyDescent="0.35">
      <c r="A20" s="39"/>
      <c r="B20" s="57" t="s">
        <v>86</v>
      </c>
      <c r="C20" s="58">
        <f>MAX(C16:V16)</f>
        <v>0</v>
      </c>
      <c r="D20" s="59"/>
      <c r="E20" s="60"/>
      <c r="F20" s="61"/>
      <c r="G20" s="61"/>
      <c r="H20" s="61"/>
      <c r="I20" s="61"/>
      <c r="J20" s="61"/>
      <c r="K20" s="61"/>
      <c r="L20" s="61"/>
      <c r="M20" s="61"/>
      <c r="N20" s="61"/>
      <c r="O20" s="39"/>
      <c r="P20" s="39"/>
      <c r="Q20" s="39"/>
      <c r="R20" s="39"/>
      <c r="S20" s="39"/>
      <c r="T20" s="39"/>
      <c r="U20" s="39"/>
      <c r="V20" s="39"/>
      <c r="W20" s="39"/>
    </row>
    <row r="21" spans="1:23" ht="15" customHeight="1" x14ac:dyDescent="0.35">
      <c r="A21" s="39"/>
      <c r="B21" s="62" t="s">
        <v>89</v>
      </c>
      <c r="C21" s="63" t="str">
        <f>IFERROR(AVERAGE(C16:V16),"0")</f>
        <v>0</v>
      </c>
      <c r="D21" s="60"/>
      <c r="E21" s="60"/>
      <c r="F21" s="61"/>
      <c r="G21" s="61"/>
      <c r="H21" s="61"/>
      <c r="I21" s="61"/>
      <c r="J21" s="61"/>
      <c r="K21" s="61"/>
      <c r="L21" s="61"/>
      <c r="M21" s="61"/>
      <c r="N21" s="61"/>
      <c r="O21" s="39"/>
      <c r="P21" s="39"/>
      <c r="Q21" s="39"/>
      <c r="R21" s="39"/>
      <c r="S21" s="39"/>
      <c r="T21" s="39"/>
      <c r="U21" s="39"/>
      <c r="V21" s="39"/>
      <c r="W21" s="39"/>
    </row>
    <row r="22" spans="1:23" ht="15" customHeight="1" x14ac:dyDescent="0.35">
      <c r="A22" s="39"/>
      <c r="B22" s="64" t="s">
        <v>125</v>
      </c>
      <c r="C22" s="65">
        <f>SUM(C16:V16)</f>
        <v>0</v>
      </c>
      <c r="D22" s="60"/>
      <c r="E22" s="60"/>
      <c r="F22" s="61"/>
      <c r="G22" s="61"/>
      <c r="H22" s="61"/>
      <c r="I22" s="61"/>
      <c r="J22" s="61"/>
      <c r="K22" s="61"/>
      <c r="L22" s="61"/>
      <c r="M22" s="61"/>
      <c r="N22" s="61"/>
      <c r="O22" s="39"/>
      <c r="P22" s="39"/>
      <c r="Q22" s="39"/>
      <c r="R22" s="39"/>
      <c r="S22" s="39"/>
      <c r="T22" s="39"/>
      <c r="U22" s="39"/>
      <c r="V22" s="39"/>
      <c r="W22" s="39"/>
    </row>
    <row r="23" spans="1:23" ht="15" customHeight="1" x14ac:dyDescent="0.35">
      <c r="A23" s="39"/>
      <c r="B23" s="61"/>
      <c r="C23" s="39"/>
      <c r="D23" s="39"/>
      <c r="E23" s="39"/>
      <c r="F23" s="66"/>
      <c r="G23" s="66"/>
      <c r="H23" s="66"/>
      <c r="I23" s="40"/>
      <c r="J23" s="40"/>
      <c r="K23" s="40"/>
      <c r="L23" s="40"/>
      <c r="M23" s="40"/>
      <c r="N23" s="40"/>
      <c r="O23" s="39"/>
      <c r="P23" s="39"/>
      <c r="Q23" s="39"/>
      <c r="R23" s="39"/>
      <c r="S23" s="39"/>
      <c r="T23" s="39"/>
      <c r="U23" s="39"/>
      <c r="V23" s="39"/>
      <c r="W23" s="39"/>
    </row>
    <row r="24" spans="1:23" ht="15" customHeight="1" x14ac:dyDescent="0.35">
      <c r="A24" s="39"/>
      <c r="B24" s="99" t="s">
        <v>153</v>
      </c>
      <c r="C24" s="94"/>
      <c r="D24" s="87"/>
      <c r="E24" s="46">
        <f>SUM(E10:E11)</f>
        <v>0</v>
      </c>
      <c r="F24" s="61"/>
      <c r="G24" s="61"/>
      <c r="H24" s="61"/>
      <c r="I24" s="40"/>
      <c r="J24" s="40"/>
      <c r="K24" s="40"/>
      <c r="L24" s="40"/>
      <c r="M24" s="40"/>
      <c r="N24" s="40"/>
      <c r="O24" s="39"/>
      <c r="P24" s="39"/>
      <c r="Q24" s="39"/>
      <c r="R24" s="39"/>
      <c r="S24" s="39"/>
      <c r="T24" s="39"/>
      <c r="U24" s="39"/>
      <c r="V24" s="39"/>
      <c r="W24" s="39"/>
    </row>
    <row r="25" spans="1:23" ht="15" customHeight="1" x14ac:dyDescent="0.35">
      <c r="A25" s="39"/>
      <c r="B25" s="61"/>
      <c r="C25" s="61"/>
      <c r="D25" s="61"/>
      <c r="E25" s="61"/>
      <c r="F25" s="61"/>
      <c r="G25" s="61"/>
      <c r="H25" s="61"/>
      <c r="I25" s="40"/>
      <c r="J25" s="40"/>
      <c r="K25" s="40"/>
      <c r="L25" s="40"/>
      <c r="M25" s="40"/>
      <c r="N25" s="40"/>
      <c r="O25" s="39"/>
      <c r="P25" s="39"/>
      <c r="Q25" s="39"/>
      <c r="R25" s="39"/>
      <c r="S25" s="39"/>
      <c r="T25" s="39"/>
      <c r="U25" s="39"/>
      <c r="V25" s="39"/>
      <c r="W25" s="39"/>
    </row>
    <row r="26" spans="1:23" ht="15" customHeight="1" x14ac:dyDescent="0.35">
      <c r="A26" s="39"/>
      <c r="B26" s="61"/>
      <c r="C26" s="61"/>
      <c r="D26" s="61"/>
      <c r="E26" s="61"/>
      <c r="F26" s="61"/>
      <c r="G26" s="61"/>
      <c r="H26" s="61"/>
      <c r="I26" s="40"/>
      <c r="J26" s="40"/>
      <c r="K26" s="40"/>
      <c r="L26" s="40"/>
      <c r="M26" s="40"/>
      <c r="N26" s="40"/>
      <c r="O26" s="39"/>
      <c r="P26" s="39"/>
      <c r="Q26" s="39"/>
      <c r="R26" s="39"/>
      <c r="S26" s="39"/>
      <c r="T26" s="39"/>
      <c r="U26" s="39"/>
      <c r="V26" s="39"/>
      <c r="W26" s="39"/>
    </row>
    <row r="27" spans="1:23" ht="15" customHeight="1" x14ac:dyDescent="0.35">
      <c r="A27" s="39"/>
      <c r="B27" s="95" t="s">
        <v>127</v>
      </c>
      <c r="C27" s="96"/>
      <c r="D27" s="96"/>
      <c r="E27" s="97"/>
      <c r="F27" s="40"/>
      <c r="G27" s="40"/>
      <c r="H27" s="40"/>
      <c r="I27" s="40"/>
      <c r="J27" s="40"/>
      <c r="K27" s="40"/>
      <c r="L27" s="40"/>
      <c r="M27" s="40"/>
      <c r="N27" s="40"/>
      <c r="O27" s="39"/>
      <c r="P27" s="39"/>
      <c r="Q27" s="39"/>
      <c r="R27" s="39"/>
      <c r="S27" s="39"/>
      <c r="T27" s="39"/>
      <c r="U27" s="39"/>
      <c r="V27" s="39"/>
      <c r="W27" s="39"/>
    </row>
    <row r="28" spans="1:23" ht="15" customHeight="1" x14ac:dyDescent="0.35">
      <c r="A28" s="39"/>
      <c r="B28" s="45"/>
      <c r="C28" s="67" t="s">
        <v>128</v>
      </c>
      <c r="D28" s="67" t="s">
        <v>129</v>
      </c>
      <c r="E28" s="67" t="s">
        <v>130</v>
      </c>
      <c r="F28" s="52" t="s">
        <v>131</v>
      </c>
      <c r="G28" s="52" t="s">
        <v>132</v>
      </c>
      <c r="H28" s="52" t="s">
        <v>133</v>
      </c>
      <c r="I28" s="52" t="s">
        <v>134</v>
      </c>
      <c r="J28" s="52" t="s">
        <v>135</v>
      </c>
      <c r="K28" s="52" t="s">
        <v>136</v>
      </c>
      <c r="L28" s="52" t="s">
        <v>137</v>
      </c>
      <c r="M28" s="52" t="s">
        <v>138</v>
      </c>
      <c r="N28" s="52" t="s">
        <v>139</v>
      </c>
      <c r="O28" s="52" t="s">
        <v>140</v>
      </c>
      <c r="P28" s="52" t="s">
        <v>141</v>
      </c>
      <c r="Q28" s="52" t="s">
        <v>142</v>
      </c>
      <c r="R28" s="52" t="s">
        <v>143</v>
      </c>
      <c r="S28" s="52" t="s">
        <v>144</v>
      </c>
      <c r="T28" s="52" t="s">
        <v>145</v>
      </c>
      <c r="U28" s="52" t="s">
        <v>146</v>
      </c>
      <c r="V28" s="52" t="s">
        <v>147</v>
      </c>
      <c r="W28" s="39"/>
    </row>
    <row r="29" spans="1:23" ht="15" customHeight="1" x14ac:dyDescent="0.35">
      <c r="A29" s="39"/>
      <c r="B29" s="41" t="s">
        <v>120</v>
      </c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39"/>
    </row>
    <row r="30" spans="1:23" ht="15" customHeight="1" x14ac:dyDescent="0.35">
      <c r="A30" s="39"/>
      <c r="B30" s="41" t="s">
        <v>148</v>
      </c>
      <c r="C30" s="69"/>
      <c r="D30" s="54"/>
      <c r="E30" s="54"/>
      <c r="F30" s="54"/>
      <c r="G30" s="54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39"/>
    </row>
    <row r="31" spans="1:23" ht="15" customHeight="1" x14ac:dyDescent="0.35">
      <c r="A31" s="39"/>
      <c r="B31" s="55" t="s">
        <v>149</v>
      </c>
      <c r="C31" s="74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39"/>
    </row>
    <row r="32" spans="1:23" ht="15" customHeight="1" x14ac:dyDescent="0.35">
      <c r="A32" s="39"/>
      <c r="B32" s="71" t="s">
        <v>150</v>
      </c>
      <c r="C32" s="72">
        <f>SUM(C30:V30)</f>
        <v>0</v>
      </c>
      <c r="D32" s="60"/>
      <c r="E32" s="60"/>
      <c r="F32" s="61"/>
      <c r="G32" s="61"/>
      <c r="H32" s="61"/>
      <c r="I32" s="61"/>
      <c r="J32" s="61"/>
      <c r="K32" s="61"/>
      <c r="L32" s="61"/>
      <c r="M32" s="61"/>
      <c r="N32" s="61"/>
      <c r="O32" s="39"/>
      <c r="P32" s="39"/>
      <c r="Q32" s="39"/>
      <c r="R32" s="39"/>
      <c r="S32" s="39"/>
      <c r="T32" s="39"/>
      <c r="U32" s="39"/>
      <c r="V32" s="39"/>
      <c r="W32" s="39"/>
    </row>
    <row r="33" spans="1:23" ht="12" customHeight="1" x14ac:dyDescent="0.35">
      <c r="A33" s="39"/>
      <c r="B33" s="50"/>
      <c r="C33" s="50"/>
      <c r="D33" s="50"/>
      <c r="E33" s="50"/>
      <c r="F33" s="50"/>
      <c r="G33" s="50"/>
      <c r="H33" s="40"/>
      <c r="I33" s="40"/>
      <c r="J33" s="40"/>
      <c r="K33" s="40"/>
      <c r="L33" s="40"/>
      <c r="M33" s="40"/>
      <c r="N33" s="40"/>
      <c r="O33" s="39"/>
      <c r="P33" s="39"/>
      <c r="Q33" s="39"/>
      <c r="R33" s="39"/>
      <c r="S33" s="39"/>
      <c r="T33" s="39"/>
      <c r="U33" s="39"/>
      <c r="V33" s="39"/>
      <c r="W33" s="39"/>
    </row>
    <row r="34" spans="1:23" ht="12" customHeight="1" x14ac:dyDescent="0.35">
      <c r="A34" s="39"/>
      <c r="B34" s="73" t="s">
        <v>151</v>
      </c>
      <c r="C34" s="73"/>
      <c r="D34" s="73"/>
      <c r="E34" s="73"/>
      <c r="F34" s="73"/>
      <c r="G34" s="73"/>
      <c r="H34" s="40"/>
      <c r="I34" s="40"/>
      <c r="J34" s="40"/>
      <c r="K34" s="40"/>
      <c r="L34" s="40"/>
      <c r="M34" s="40"/>
      <c r="N34" s="40"/>
      <c r="O34" s="39"/>
      <c r="P34" s="39"/>
      <c r="Q34" s="39"/>
      <c r="R34" s="39"/>
      <c r="S34" s="39"/>
      <c r="T34" s="39"/>
      <c r="U34" s="39"/>
      <c r="V34" s="39"/>
      <c r="W34" s="39"/>
    </row>
    <row r="35" spans="1:23" ht="193.5" customHeight="1" x14ac:dyDescent="0.35">
      <c r="A35" s="39"/>
      <c r="B35" s="100"/>
      <c r="C35" s="101"/>
      <c r="D35" s="101"/>
      <c r="E35" s="101"/>
      <c r="F35" s="101"/>
      <c r="G35" s="101"/>
      <c r="H35" s="40"/>
      <c r="I35" s="40"/>
      <c r="J35" s="40"/>
      <c r="K35" s="40"/>
      <c r="L35" s="40"/>
      <c r="M35" s="40"/>
      <c r="N35" s="40"/>
      <c r="O35" s="39"/>
      <c r="P35" s="39"/>
      <c r="Q35" s="39"/>
      <c r="R35" s="39"/>
      <c r="S35" s="39"/>
      <c r="T35" s="39"/>
      <c r="U35" s="39"/>
      <c r="V35" s="39"/>
      <c r="W35" s="39"/>
    </row>
    <row r="36" spans="1:23" ht="12" customHeight="1" x14ac:dyDescent="0.35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</row>
  </sheetData>
  <mergeCells count="23">
    <mergeCell ref="B11:D11"/>
    <mergeCell ref="B13:E13"/>
    <mergeCell ref="B24:D24"/>
    <mergeCell ref="B27:E27"/>
    <mergeCell ref="B35:G35"/>
    <mergeCell ref="G5:I5"/>
    <mergeCell ref="G8:I8"/>
    <mergeCell ref="G9:J9"/>
    <mergeCell ref="B10:D10"/>
    <mergeCell ref="G10:I10"/>
    <mergeCell ref="B5:D5"/>
    <mergeCell ref="B6:D6"/>
    <mergeCell ref="G6:I6"/>
    <mergeCell ref="B7:D7"/>
    <mergeCell ref="G7:I7"/>
    <mergeCell ref="B8:D8"/>
    <mergeCell ref="B9:D9"/>
    <mergeCell ref="B1:J1"/>
    <mergeCell ref="B3:E3"/>
    <mergeCell ref="G3:J3"/>
    <mergeCell ref="L3:M3"/>
    <mergeCell ref="B4:D4"/>
    <mergeCell ref="G4:J4"/>
  </mergeCells>
  <pageMargins left="0.7" right="0.7" top="0.75" bottom="0.75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 xr:uid="{00000000-0002-0000-0400-000000000000}">
          <x14:formula1>
            <xm:f>Dropdowns!$A$1:$A$3</xm:f>
          </x14:formula1>
          <xm:sqref>E4 J5:J6 E7</xm:sqref>
        </x14:dataValidation>
        <x14:dataValidation type="list" allowBlank="1" showErrorMessage="1" xr:uid="{00000000-0002-0000-0400-000001000000}">
          <x14:formula1>
            <xm:f>Dropdowns!$B$1:$B$9</xm:f>
          </x14:formula1>
          <xm:sqref>E5</xm:sqref>
        </x14:dataValidation>
        <x14:dataValidation type="list" allowBlank="1" showErrorMessage="1" xr:uid="{00000000-0002-0000-0400-000002000000}">
          <x14:formula1>
            <xm:f>Dropdowns!$E$12:$E$21</xm:f>
          </x14:formula1>
          <xm:sqref>C18:V18</xm:sqref>
        </x14:dataValidation>
        <x14:dataValidation type="list" allowBlank="1" showErrorMessage="1" xr:uid="{00000000-0002-0000-0400-000003000000}">
          <x14:formula1>
            <xm:f>Dropdowns!$N$2:$N$22</xm:f>
          </x14:formula1>
          <xm:sqref>J8</xm:sqref>
        </x14:dataValidation>
        <x14:dataValidation type="list" allowBlank="1" showErrorMessage="1" xr:uid="{00000000-0002-0000-0400-000004000000}">
          <x14:formula1>
            <xm:f>Dropdowns!$N$2:$N$17</xm:f>
          </x14:formula1>
          <xm:sqref>E6 J7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EEAF6"/>
  </sheetPr>
  <dimension ref="A1:W36"/>
  <sheetViews>
    <sheetView workbookViewId="0">
      <selection activeCell="M7" sqref="M7"/>
    </sheetView>
  </sheetViews>
  <sheetFormatPr defaultColWidth="11.25" defaultRowHeight="15" customHeight="1" x14ac:dyDescent="0.35"/>
  <cols>
    <col min="1" max="1" width="2" customWidth="1"/>
    <col min="2" max="2" width="11.08203125" customWidth="1"/>
    <col min="3" max="23" width="7.75" customWidth="1"/>
  </cols>
  <sheetData>
    <row r="1" spans="1:23" ht="18.5" x14ac:dyDescent="0.35">
      <c r="A1" s="39"/>
      <c r="B1" s="93" t="s">
        <v>78</v>
      </c>
      <c r="C1" s="94"/>
      <c r="D1" s="94"/>
      <c r="E1" s="94"/>
      <c r="F1" s="94"/>
      <c r="G1" s="94"/>
      <c r="H1" s="94"/>
      <c r="I1" s="94"/>
      <c r="J1" s="87"/>
      <c r="K1" s="40"/>
      <c r="L1" s="40"/>
      <c r="M1" s="40"/>
      <c r="N1" s="40"/>
      <c r="O1" s="39"/>
      <c r="P1" s="39"/>
      <c r="Q1" s="39"/>
      <c r="R1" s="39"/>
      <c r="S1" s="39"/>
      <c r="T1" s="39"/>
      <c r="U1" s="39"/>
      <c r="V1" s="39"/>
      <c r="W1" s="39"/>
    </row>
    <row r="2" spans="1:23" ht="12" customHeight="1" x14ac:dyDescent="0.35">
      <c r="A2" s="39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39"/>
      <c r="P2" s="39"/>
      <c r="Q2" s="39"/>
      <c r="R2" s="39"/>
      <c r="S2" s="39"/>
      <c r="T2" s="39"/>
      <c r="U2" s="39"/>
      <c r="V2" s="39"/>
      <c r="W2" s="39"/>
    </row>
    <row r="3" spans="1:23" ht="15.5" x14ac:dyDescent="0.35">
      <c r="A3" s="39"/>
      <c r="B3" s="95" t="s">
        <v>79</v>
      </c>
      <c r="C3" s="96"/>
      <c r="D3" s="96"/>
      <c r="E3" s="97"/>
      <c r="F3" s="40"/>
      <c r="G3" s="95" t="s">
        <v>80</v>
      </c>
      <c r="H3" s="96"/>
      <c r="I3" s="96"/>
      <c r="J3" s="97"/>
      <c r="K3" s="40"/>
      <c r="L3" s="98" t="s">
        <v>81</v>
      </c>
      <c r="M3" s="87"/>
      <c r="N3" s="40"/>
      <c r="O3" s="39"/>
      <c r="P3" s="39"/>
      <c r="Q3" s="39"/>
      <c r="R3" s="39"/>
      <c r="S3" s="39"/>
      <c r="T3" s="39"/>
      <c r="U3" s="39"/>
      <c r="V3" s="39"/>
      <c r="W3" s="39"/>
    </row>
    <row r="4" spans="1:23" ht="15" customHeight="1" x14ac:dyDescent="0.35">
      <c r="A4" s="39"/>
      <c r="B4" s="99" t="s">
        <v>82</v>
      </c>
      <c r="C4" s="94"/>
      <c r="D4" s="87"/>
      <c r="E4" s="41"/>
      <c r="F4" s="40"/>
      <c r="G4" s="99"/>
      <c r="H4" s="94"/>
      <c r="I4" s="94"/>
      <c r="J4" s="87"/>
      <c r="K4" s="40"/>
      <c r="L4" s="42" t="s">
        <v>209</v>
      </c>
      <c r="M4" s="43">
        <f>C22</f>
        <v>0</v>
      </c>
      <c r="N4" s="40"/>
      <c r="O4" s="39"/>
      <c r="P4" s="39"/>
      <c r="Q4" s="39"/>
      <c r="R4" s="39"/>
      <c r="S4" s="39"/>
      <c r="T4" s="39"/>
      <c r="U4" s="39"/>
      <c r="V4" s="39"/>
      <c r="W4" s="39"/>
    </row>
    <row r="5" spans="1:23" ht="15" customHeight="1" x14ac:dyDescent="0.35">
      <c r="A5" s="39"/>
      <c r="B5" s="99" t="s">
        <v>84</v>
      </c>
      <c r="C5" s="94"/>
      <c r="D5" s="87"/>
      <c r="E5" s="41"/>
      <c r="F5" s="40"/>
      <c r="G5" s="99" t="s">
        <v>85</v>
      </c>
      <c r="H5" s="94"/>
      <c r="I5" s="87"/>
      <c r="J5" s="41" t="str">
        <f>IF(SUM(C30:V30)&gt;1500,"Ja","Nee")</f>
        <v>Nee</v>
      </c>
      <c r="K5" s="40"/>
      <c r="L5" s="42" t="s">
        <v>86</v>
      </c>
      <c r="M5" s="43">
        <f>C20</f>
        <v>0</v>
      </c>
      <c r="N5" s="40"/>
      <c r="O5" s="39"/>
      <c r="P5" s="39"/>
      <c r="Q5" s="39"/>
      <c r="R5" s="39"/>
      <c r="S5" s="39"/>
      <c r="T5" s="39"/>
      <c r="U5" s="39"/>
      <c r="V5" s="39"/>
      <c r="W5" s="39"/>
    </row>
    <row r="6" spans="1:23" ht="15" customHeight="1" x14ac:dyDescent="0.35">
      <c r="A6" s="39"/>
      <c r="B6" s="99" t="s">
        <v>87</v>
      </c>
      <c r="C6" s="94"/>
      <c r="D6" s="87"/>
      <c r="E6" s="42">
        <v>0</v>
      </c>
      <c r="F6" s="40"/>
      <c r="G6" s="99" t="s">
        <v>88</v>
      </c>
      <c r="H6" s="94"/>
      <c r="I6" s="87"/>
      <c r="J6" s="41"/>
      <c r="K6" s="40"/>
      <c r="L6" s="42" t="s">
        <v>89</v>
      </c>
      <c r="M6" s="108" t="str">
        <f>C21</f>
        <v>0</v>
      </c>
      <c r="N6" s="40"/>
      <c r="O6" s="39"/>
      <c r="P6" s="39"/>
      <c r="Q6" s="39"/>
      <c r="R6" s="39"/>
      <c r="S6" s="39"/>
      <c r="T6" s="39"/>
      <c r="U6" s="39"/>
      <c r="V6" s="39"/>
      <c r="W6" s="39"/>
    </row>
    <row r="7" spans="1:23" ht="15" customHeight="1" x14ac:dyDescent="0.35">
      <c r="A7" s="39"/>
      <c r="B7" s="99" t="s">
        <v>90</v>
      </c>
      <c r="C7" s="94"/>
      <c r="D7" s="87"/>
      <c r="E7" s="45"/>
      <c r="F7" s="40"/>
      <c r="G7" s="99" t="s">
        <v>91</v>
      </c>
      <c r="H7" s="94"/>
      <c r="I7" s="87"/>
      <c r="J7" s="42"/>
      <c r="K7" s="40"/>
      <c r="L7" s="40"/>
      <c r="M7" s="40"/>
      <c r="N7" s="40"/>
      <c r="O7" s="39"/>
      <c r="P7" s="39"/>
      <c r="Q7" s="39"/>
      <c r="R7" s="39"/>
      <c r="S7" s="39"/>
      <c r="T7" s="39"/>
      <c r="U7" s="39"/>
      <c r="V7" s="39"/>
      <c r="W7" s="39"/>
    </row>
    <row r="8" spans="1:23" ht="15" customHeight="1" x14ac:dyDescent="0.35">
      <c r="A8" s="39"/>
      <c r="B8" s="99" t="s">
        <v>92</v>
      </c>
      <c r="C8" s="94"/>
      <c r="D8" s="87"/>
      <c r="E8" s="46"/>
      <c r="F8" s="40"/>
      <c r="G8" s="99" t="s">
        <v>93</v>
      </c>
      <c r="H8" s="94"/>
      <c r="I8" s="87"/>
      <c r="J8" s="42"/>
      <c r="K8" s="40"/>
      <c r="L8" s="42" t="s">
        <v>94</v>
      </c>
      <c r="M8" s="47">
        <f ca="1">'Algemene info'!B6</f>
        <v>126</v>
      </c>
      <c r="N8" s="40"/>
      <c r="O8" s="39"/>
      <c r="P8" s="39"/>
      <c r="Q8" s="39"/>
      <c r="R8" s="39"/>
      <c r="S8" s="39"/>
      <c r="T8" s="39"/>
      <c r="U8" s="39"/>
      <c r="V8" s="39"/>
      <c r="W8" s="39"/>
    </row>
    <row r="9" spans="1:23" ht="15" customHeight="1" x14ac:dyDescent="0.35">
      <c r="A9" s="39"/>
      <c r="B9" s="99" t="s">
        <v>95</v>
      </c>
      <c r="C9" s="94"/>
      <c r="D9" s="87"/>
      <c r="E9" s="48"/>
      <c r="F9" s="40"/>
      <c r="G9" s="99"/>
      <c r="H9" s="94"/>
      <c r="I9" s="94"/>
      <c r="J9" s="87"/>
      <c r="K9" s="40"/>
      <c r="L9" s="40"/>
      <c r="M9" s="40"/>
      <c r="N9" s="40"/>
      <c r="O9" s="39"/>
      <c r="P9" s="39"/>
      <c r="Q9" s="39"/>
      <c r="R9" s="39"/>
      <c r="S9" s="39"/>
      <c r="T9" s="39"/>
      <c r="U9" s="39"/>
      <c r="V9" s="39"/>
      <c r="W9" s="39"/>
    </row>
    <row r="10" spans="1:23" ht="15" customHeight="1" x14ac:dyDescent="0.35">
      <c r="A10" s="39"/>
      <c r="B10" s="99" t="s">
        <v>96</v>
      </c>
      <c r="C10" s="94"/>
      <c r="D10" s="87"/>
      <c r="E10" s="46">
        <f>E9-E8</f>
        <v>0</v>
      </c>
      <c r="F10" s="40"/>
      <c r="G10" s="99" t="s">
        <v>97</v>
      </c>
      <c r="H10" s="94"/>
      <c r="I10" s="87"/>
      <c r="J10" s="49">
        <f ca="1">30+(M8*30)</f>
        <v>3810</v>
      </c>
      <c r="K10" s="40"/>
      <c r="L10" s="40"/>
      <c r="M10" s="40"/>
      <c r="N10" s="40"/>
      <c r="O10" s="39"/>
      <c r="P10" s="39"/>
      <c r="Q10" s="39"/>
      <c r="R10" s="39"/>
      <c r="S10" s="39"/>
      <c r="T10" s="39"/>
      <c r="U10" s="39"/>
      <c r="V10" s="39"/>
      <c r="W10" s="39"/>
    </row>
    <row r="11" spans="1:23" ht="15.75" customHeight="1" x14ac:dyDescent="0.35">
      <c r="A11" s="39"/>
      <c r="B11" s="99" t="s">
        <v>98</v>
      </c>
      <c r="C11" s="94"/>
      <c r="D11" s="87"/>
      <c r="E11" s="46">
        <f>SUMIF(C19:V19,"true",C16:V16)</f>
        <v>0</v>
      </c>
      <c r="F11" s="40"/>
      <c r="G11" s="40"/>
      <c r="H11" s="40"/>
      <c r="I11" s="40"/>
      <c r="J11" s="40"/>
      <c r="K11" s="40"/>
      <c r="L11" s="40"/>
      <c r="M11" s="40"/>
      <c r="N11" s="40"/>
      <c r="O11" s="39"/>
      <c r="P11" s="39"/>
      <c r="Q11" s="39"/>
      <c r="R11" s="39"/>
      <c r="S11" s="39"/>
      <c r="T11" s="39"/>
      <c r="U11" s="39"/>
      <c r="V11" s="39"/>
      <c r="W11" s="39"/>
    </row>
    <row r="12" spans="1:23" ht="12" customHeight="1" x14ac:dyDescent="0.35">
      <c r="A12" s="39"/>
      <c r="B12" s="50"/>
      <c r="C12" s="50"/>
      <c r="D12" s="50"/>
      <c r="E12" s="50"/>
      <c r="F12" s="40"/>
      <c r="G12" s="40"/>
      <c r="H12" s="40"/>
      <c r="I12" s="40"/>
      <c r="J12" s="40"/>
      <c r="K12" s="40"/>
      <c r="L12" s="40"/>
      <c r="M12" s="40"/>
      <c r="N12" s="40"/>
      <c r="O12" s="39"/>
      <c r="P12" s="39"/>
      <c r="Q12" s="39"/>
      <c r="R12" s="39"/>
      <c r="S12" s="39"/>
      <c r="T12" s="39"/>
      <c r="U12" s="39"/>
      <c r="V12" s="39"/>
      <c r="W12" s="39"/>
    </row>
    <row r="13" spans="1:23" ht="15.5" x14ac:dyDescent="0.35">
      <c r="A13" s="39"/>
      <c r="B13" s="95" t="s">
        <v>99</v>
      </c>
      <c r="C13" s="96"/>
      <c r="D13" s="96"/>
      <c r="E13" s="97"/>
      <c r="F13" s="51"/>
      <c r="G13" s="40"/>
      <c r="H13" s="40"/>
      <c r="I13" s="40"/>
      <c r="J13" s="40"/>
      <c r="K13" s="40"/>
      <c r="L13" s="40"/>
      <c r="M13" s="40"/>
      <c r="N13" s="40"/>
      <c r="O13" s="39"/>
      <c r="P13" s="39"/>
      <c r="Q13" s="39"/>
      <c r="R13" s="39"/>
      <c r="S13" s="39"/>
      <c r="T13" s="39"/>
      <c r="U13" s="39"/>
      <c r="V13" s="39"/>
      <c r="W13" s="39"/>
    </row>
    <row r="14" spans="1:23" ht="15" customHeight="1" x14ac:dyDescent="0.35">
      <c r="A14" s="39"/>
      <c r="B14" s="41"/>
      <c r="C14" s="52" t="s">
        <v>100</v>
      </c>
      <c r="D14" s="52" t="s">
        <v>101</v>
      </c>
      <c r="E14" s="52" t="s">
        <v>102</v>
      </c>
      <c r="F14" s="52" t="s">
        <v>103</v>
      </c>
      <c r="G14" s="52" t="s">
        <v>104</v>
      </c>
      <c r="H14" s="52" t="s">
        <v>105</v>
      </c>
      <c r="I14" s="52" t="s">
        <v>106</v>
      </c>
      <c r="J14" s="52" t="s">
        <v>107</v>
      </c>
      <c r="K14" s="52" t="s">
        <v>108</v>
      </c>
      <c r="L14" s="52" t="s">
        <v>109</v>
      </c>
      <c r="M14" s="52" t="s">
        <v>110</v>
      </c>
      <c r="N14" s="52" t="s">
        <v>111</v>
      </c>
      <c r="O14" s="52" t="s">
        <v>112</v>
      </c>
      <c r="P14" s="52" t="s">
        <v>113</v>
      </c>
      <c r="Q14" s="52" t="s">
        <v>114</v>
      </c>
      <c r="R14" s="52" t="s">
        <v>115</v>
      </c>
      <c r="S14" s="52" t="s">
        <v>116</v>
      </c>
      <c r="T14" s="52" t="s">
        <v>117</v>
      </c>
      <c r="U14" s="52" t="s">
        <v>118</v>
      </c>
      <c r="V14" s="52" t="s">
        <v>119</v>
      </c>
      <c r="W14" s="39"/>
    </row>
    <row r="15" spans="1:23" ht="15" customHeight="1" x14ac:dyDescent="0.35">
      <c r="A15" s="39"/>
      <c r="B15" s="41" t="s">
        <v>120</v>
      </c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39"/>
    </row>
    <row r="16" spans="1:23" ht="15" customHeight="1" x14ac:dyDescent="0.35">
      <c r="A16" s="39"/>
      <c r="B16" s="41" t="s">
        <v>121</v>
      </c>
      <c r="C16" s="53"/>
      <c r="D16" s="54"/>
      <c r="E16" s="54"/>
      <c r="F16" s="54"/>
      <c r="G16" s="54"/>
      <c r="H16" s="54"/>
      <c r="I16" s="54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39"/>
    </row>
    <row r="17" spans="1:23" ht="15" customHeight="1" x14ac:dyDescent="0.35">
      <c r="A17" s="39"/>
      <c r="B17" s="41" t="s">
        <v>122</v>
      </c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39"/>
    </row>
    <row r="18" spans="1:23" ht="15" customHeight="1" x14ac:dyDescent="0.35">
      <c r="A18" s="39"/>
      <c r="B18" s="41" t="s">
        <v>123</v>
      </c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39"/>
    </row>
    <row r="19" spans="1:23" ht="15" customHeight="1" x14ac:dyDescent="0.35">
      <c r="A19" s="39"/>
      <c r="B19" s="55" t="s">
        <v>124</v>
      </c>
      <c r="C19" s="56" t="b">
        <v>0</v>
      </c>
      <c r="D19" s="52" t="b">
        <v>0</v>
      </c>
      <c r="E19" s="52" t="b">
        <v>0</v>
      </c>
      <c r="F19" s="52" t="b">
        <v>0</v>
      </c>
      <c r="G19" s="52" t="b">
        <v>0</v>
      </c>
      <c r="H19" s="52" t="b">
        <v>0</v>
      </c>
      <c r="I19" s="52" t="b">
        <v>0</v>
      </c>
      <c r="J19" s="52" t="b">
        <v>0</v>
      </c>
      <c r="K19" s="52" t="b">
        <v>0</v>
      </c>
      <c r="L19" s="52" t="b">
        <v>0</v>
      </c>
      <c r="M19" s="52" t="b">
        <v>0</v>
      </c>
      <c r="N19" s="52" t="b">
        <v>0</v>
      </c>
      <c r="O19" s="52" t="b">
        <v>0</v>
      </c>
      <c r="P19" s="52" t="b">
        <v>0</v>
      </c>
      <c r="Q19" s="52" t="b">
        <v>0</v>
      </c>
      <c r="R19" s="52" t="b">
        <v>0</v>
      </c>
      <c r="S19" s="52" t="b">
        <v>0</v>
      </c>
      <c r="T19" s="52" t="b">
        <v>0</v>
      </c>
      <c r="U19" s="52" t="b">
        <v>0</v>
      </c>
      <c r="V19" s="52" t="b">
        <v>0</v>
      </c>
      <c r="W19" s="39"/>
    </row>
    <row r="20" spans="1:23" ht="15" customHeight="1" x14ac:dyDescent="0.35">
      <c r="A20" s="39"/>
      <c r="B20" s="57" t="s">
        <v>86</v>
      </c>
      <c r="C20" s="58">
        <f>MAX(C16:V16)</f>
        <v>0</v>
      </c>
      <c r="D20" s="59"/>
      <c r="E20" s="60"/>
      <c r="F20" s="61"/>
      <c r="G20" s="61"/>
      <c r="H20" s="61"/>
      <c r="I20" s="61"/>
      <c r="J20" s="61"/>
      <c r="K20" s="61"/>
      <c r="L20" s="61"/>
      <c r="M20" s="61"/>
      <c r="N20" s="61"/>
      <c r="O20" s="39"/>
      <c r="P20" s="39"/>
      <c r="Q20" s="39"/>
      <c r="R20" s="39"/>
      <c r="S20" s="39"/>
      <c r="T20" s="39"/>
      <c r="U20" s="39"/>
      <c r="V20" s="39"/>
      <c r="W20" s="39"/>
    </row>
    <row r="21" spans="1:23" ht="15" customHeight="1" x14ac:dyDescent="0.35">
      <c r="A21" s="39"/>
      <c r="B21" s="62" t="s">
        <v>89</v>
      </c>
      <c r="C21" s="63" t="str">
        <f>IFERROR(AVERAGE(C16:V16),"0")</f>
        <v>0</v>
      </c>
      <c r="D21" s="60"/>
      <c r="E21" s="60"/>
      <c r="F21" s="61"/>
      <c r="G21" s="61"/>
      <c r="H21" s="61"/>
      <c r="I21" s="61"/>
      <c r="J21" s="61"/>
      <c r="K21" s="61"/>
      <c r="L21" s="61"/>
      <c r="M21" s="61"/>
      <c r="N21" s="61"/>
      <c r="O21" s="39"/>
      <c r="P21" s="39"/>
      <c r="Q21" s="39"/>
      <c r="R21" s="39"/>
      <c r="S21" s="39"/>
      <c r="T21" s="39"/>
      <c r="U21" s="39"/>
      <c r="V21" s="39"/>
      <c r="W21" s="39"/>
    </row>
    <row r="22" spans="1:23" ht="15" customHeight="1" x14ac:dyDescent="0.35">
      <c r="A22" s="39"/>
      <c r="B22" s="64" t="s">
        <v>125</v>
      </c>
      <c r="C22" s="65">
        <f>SUM(C16:V16)</f>
        <v>0</v>
      </c>
      <c r="D22" s="60"/>
      <c r="E22" s="60"/>
      <c r="F22" s="61"/>
      <c r="G22" s="61"/>
      <c r="H22" s="61"/>
      <c r="I22" s="61"/>
      <c r="J22" s="61"/>
      <c r="K22" s="61"/>
      <c r="L22" s="61"/>
      <c r="M22" s="61"/>
      <c r="N22" s="61"/>
      <c r="O22" s="39"/>
      <c r="P22" s="39"/>
      <c r="Q22" s="39"/>
      <c r="R22" s="39"/>
      <c r="S22" s="39"/>
      <c r="T22" s="39"/>
      <c r="U22" s="39"/>
      <c r="V22" s="39"/>
      <c r="W22" s="39"/>
    </row>
    <row r="23" spans="1:23" ht="15" customHeight="1" x14ac:dyDescent="0.35">
      <c r="A23" s="39"/>
      <c r="B23" s="61"/>
      <c r="C23" s="39"/>
      <c r="D23" s="39"/>
      <c r="E23" s="39"/>
      <c r="F23" s="66"/>
      <c r="G23" s="66"/>
      <c r="H23" s="66"/>
      <c r="I23" s="40"/>
      <c r="J23" s="40"/>
      <c r="K23" s="40"/>
      <c r="L23" s="40"/>
      <c r="M23" s="40"/>
      <c r="N23" s="40"/>
      <c r="O23" s="39"/>
      <c r="P23" s="39"/>
      <c r="Q23" s="39"/>
      <c r="R23" s="39"/>
      <c r="S23" s="39"/>
      <c r="T23" s="39"/>
      <c r="U23" s="39"/>
      <c r="V23" s="39"/>
      <c r="W23" s="39"/>
    </row>
    <row r="24" spans="1:23" ht="15" customHeight="1" x14ac:dyDescent="0.35">
      <c r="A24" s="39"/>
      <c r="B24" s="99" t="s">
        <v>154</v>
      </c>
      <c r="C24" s="94"/>
      <c r="D24" s="87"/>
      <c r="E24" s="46">
        <f>SUM(E10:E11)</f>
        <v>0</v>
      </c>
      <c r="F24" s="61"/>
      <c r="G24" s="61"/>
      <c r="H24" s="61"/>
      <c r="I24" s="40"/>
      <c r="J24" s="40"/>
      <c r="K24" s="40"/>
      <c r="L24" s="40"/>
      <c r="M24" s="40"/>
      <c r="N24" s="40"/>
      <c r="O24" s="39"/>
      <c r="P24" s="39"/>
      <c r="Q24" s="39"/>
      <c r="R24" s="39"/>
      <c r="S24" s="39"/>
      <c r="T24" s="39"/>
      <c r="U24" s="39"/>
      <c r="V24" s="39"/>
      <c r="W24" s="39"/>
    </row>
    <row r="25" spans="1:23" ht="15" customHeight="1" x14ac:dyDescent="0.35">
      <c r="A25" s="39"/>
      <c r="B25" s="61"/>
      <c r="C25" s="61"/>
      <c r="D25" s="61"/>
      <c r="E25" s="61"/>
      <c r="F25" s="61"/>
      <c r="G25" s="61"/>
      <c r="H25" s="61"/>
      <c r="I25" s="40"/>
      <c r="J25" s="40"/>
      <c r="K25" s="40"/>
      <c r="L25" s="40"/>
      <c r="M25" s="40"/>
      <c r="N25" s="40"/>
      <c r="O25" s="39"/>
      <c r="P25" s="39"/>
      <c r="Q25" s="39"/>
      <c r="R25" s="39"/>
      <c r="S25" s="39"/>
      <c r="T25" s="39"/>
      <c r="U25" s="39"/>
      <c r="V25" s="39"/>
      <c r="W25" s="39"/>
    </row>
    <row r="26" spans="1:23" ht="15" customHeight="1" x14ac:dyDescent="0.35">
      <c r="A26" s="39"/>
      <c r="B26" s="61"/>
      <c r="C26" s="61"/>
      <c r="D26" s="61"/>
      <c r="E26" s="61"/>
      <c r="F26" s="61"/>
      <c r="G26" s="61"/>
      <c r="H26" s="61"/>
      <c r="I26" s="40"/>
      <c r="J26" s="40"/>
      <c r="K26" s="40"/>
      <c r="L26" s="40"/>
      <c r="M26" s="40"/>
      <c r="N26" s="40"/>
      <c r="O26" s="39"/>
      <c r="P26" s="39"/>
      <c r="Q26" s="39"/>
      <c r="R26" s="39"/>
      <c r="S26" s="39"/>
      <c r="T26" s="39"/>
      <c r="U26" s="39"/>
      <c r="V26" s="39"/>
      <c r="W26" s="39"/>
    </row>
    <row r="27" spans="1:23" ht="15" customHeight="1" x14ac:dyDescent="0.35">
      <c r="A27" s="39"/>
      <c r="B27" s="95" t="s">
        <v>127</v>
      </c>
      <c r="C27" s="96"/>
      <c r="D27" s="96"/>
      <c r="E27" s="97"/>
      <c r="F27" s="40"/>
      <c r="G27" s="40"/>
      <c r="H27" s="40"/>
      <c r="I27" s="40"/>
      <c r="J27" s="40"/>
      <c r="K27" s="40"/>
      <c r="L27" s="40"/>
      <c r="M27" s="40"/>
      <c r="N27" s="40"/>
      <c r="O27" s="39"/>
      <c r="P27" s="39"/>
      <c r="Q27" s="39"/>
      <c r="R27" s="39"/>
      <c r="S27" s="39"/>
      <c r="T27" s="39"/>
      <c r="U27" s="39"/>
      <c r="V27" s="39"/>
      <c r="W27" s="39"/>
    </row>
    <row r="28" spans="1:23" ht="15" customHeight="1" x14ac:dyDescent="0.35">
      <c r="A28" s="39"/>
      <c r="B28" s="45"/>
      <c r="C28" s="67" t="s">
        <v>128</v>
      </c>
      <c r="D28" s="67" t="s">
        <v>129</v>
      </c>
      <c r="E28" s="67" t="s">
        <v>130</v>
      </c>
      <c r="F28" s="52" t="s">
        <v>131</v>
      </c>
      <c r="G28" s="52" t="s">
        <v>132</v>
      </c>
      <c r="H28" s="52" t="s">
        <v>133</v>
      </c>
      <c r="I28" s="52" t="s">
        <v>134</v>
      </c>
      <c r="J28" s="52" t="s">
        <v>135</v>
      </c>
      <c r="K28" s="52" t="s">
        <v>136</v>
      </c>
      <c r="L28" s="52" t="s">
        <v>137</v>
      </c>
      <c r="M28" s="52" t="s">
        <v>138</v>
      </c>
      <c r="N28" s="52" t="s">
        <v>139</v>
      </c>
      <c r="O28" s="52" t="s">
        <v>140</v>
      </c>
      <c r="P28" s="52" t="s">
        <v>141</v>
      </c>
      <c r="Q28" s="52" t="s">
        <v>142</v>
      </c>
      <c r="R28" s="52" t="s">
        <v>143</v>
      </c>
      <c r="S28" s="52" t="s">
        <v>144</v>
      </c>
      <c r="T28" s="52" t="s">
        <v>145</v>
      </c>
      <c r="U28" s="52" t="s">
        <v>146</v>
      </c>
      <c r="V28" s="52" t="s">
        <v>147</v>
      </c>
      <c r="W28" s="39"/>
    </row>
    <row r="29" spans="1:23" ht="15" customHeight="1" x14ac:dyDescent="0.35">
      <c r="A29" s="39"/>
      <c r="B29" s="41" t="s">
        <v>120</v>
      </c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39"/>
    </row>
    <row r="30" spans="1:23" ht="15" customHeight="1" x14ac:dyDescent="0.35">
      <c r="A30" s="39"/>
      <c r="B30" s="41" t="s">
        <v>148</v>
      </c>
      <c r="C30" s="69"/>
      <c r="D30" s="54"/>
      <c r="E30" s="54"/>
      <c r="F30" s="54"/>
      <c r="G30" s="54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39"/>
    </row>
    <row r="31" spans="1:23" ht="15" customHeight="1" x14ac:dyDescent="0.35">
      <c r="A31" s="39"/>
      <c r="B31" s="55" t="s">
        <v>149</v>
      </c>
      <c r="C31" s="74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39"/>
    </row>
    <row r="32" spans="1:23" ht="15" customHeight="1" x14ac:dyDescent="0.35">
      <c r="A32" s="39"/>
      <c r="B32" s="71" t="s">
        <v>150</v>
      </c>
      <c r="C32" s="72">
        <f>SUM(C30:V30)</f>
        <v>0</v>
      </c>
      <c r="D32" s="60"/>
      <c r="E32" s="60"/>
      <c r="F32" s="61"/>
      <c r="G32" s="61"/>
      <c r="H32" s="61"/>
      <c r="I32" s="61"/>
      <c r="J32" s="61"/>
      <c r="K32" s="61"/>
      <c r="L32" s="61"/>
      <c r="M32" s="61"/>
      <c r="N32" s="61"/>
      <c r="O32" s="39"/>
      <c r="P32" s="39"/>
      <c r="Q32" s="39"/>
      <c r="R32" s="39"/>
      <c r="S32" s="39"/>
      <c r="T32" s="39"/>
      <c r="U32" s="39"/>
      <c r="V32" s="39"/>
      <c r="W32" s="39"/>
    </row>
    <row r="33" spans="1:23" ht="12" customHeight="1" x14ac:dyDescent="0.35">
      <c r="A33" s="39"/>
      <c r="B33" s="50"/>
      <c r="C33" s="50"/>
      <c r="D33" s="50"/>
      <c r="E33" s="50"/>
      <c r="F33" s="50"/>
      <c r="G33" s="50"/>
      <c r="H33" s="40"/>
      <c r="I33" s="40"/>
      <c r="J33" s="40"/>
      <c r="K33" s="40"/>
      <c r="L33" s="40"/>
      <c r="M33" s="40"/>
      <c r="N33" s="40"/>
      <c r="O33" s="39"/>
      <c r="P33" s="39"/>
      <c r="Q33" s="39"/>
      <c r="R33" s="39"/>
      <c r="S33" s="39"/>
      <c r="T33" s="39"/>
      <c r="U33" s="39"/>
      <c r="V33" s="39"/>
      <c r="W33" s="39"/>
    </row>
    <row r="34" spans="1:23" ht="12" customHeight="1" x14ac:dyDescent="0.35">
      <c r="A34" s="39"/>
      <c r="B34" s="73" t="s">
        <v>151</v>
      </c>
      <c r="C34" s="73"/>
      <c r="D34" s="73"/>
      <c r="E34" s="73"/>
      <c r="F34" s="73"/>
      <c r="G34" s="73"/>
      <c r="H34" s="40"/>
      <c r="I34" s="40"/>
      <c r="J34" s="40"/>
      <c r="K34" s="40"/>
      <c r="L34" s="40"/>
      <c r="M34" s="40"/>
      <c r="N34" s="40"/>
      <c r="O34" s="39"/>
      <c r="P34" s="39"/>
      <c r="Q34" s="39"/>
      <c r="R34" s="39"/>
      <c r="S34" s="39"/>
      <c r="T34" s="39"/>
      <c r="U34" s="39"/>
      <c r="V34" s="39"/>
      <c r="W34" s="39"/>
    </row>
    <row r="35" spans="1:23" ht="193.5" customHeight="1" x14ac:dyDescent="0.35">
      <c r="A35" s="39"/>
      <c r="B35" s="100"/>
      <c r="C35" s="101"/>
      <c r="D35" s="101"/>
      <c r="E35" s="101"/>
      <c r="F35" s="101"/>
      <c r="G35" s="101"/>
      <c r="H35" s="40"/>
      <c r="I35" s="40"/>
      <c r="J35" s="40"/>
      <c r="K35" s="40"/>
      <c r="L35" s="40"/>
      <c r="M35" s="40"/>
      <c r="N35" s="40"/>
      <c r="O35" s="39"/>
      <c r="P35" s="39"/>
      <c r="Q35" s="39"/>
      <c r="R35" s="39"/>
      <c r="S35" s="39"/>
      <c r="T35" s="39"/>
      <c r="U35" s="39"/>
      <c r="V35" s="39"/>
      <c r="W35" s="39"/>
    </row>
    <row r="36" spans="1:23" ht="12" customHeight="1" x14ac:dyDescent="0.35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</row>
  </sheetData>
  <mergeCells count="23">
    <mergeCell ref="B11:D11"/>
    <mergeCell ref="B13:E13"/>
    <mergeCell ref="B24:D24"/>
    <mergeCell ref="B27:E27"/>
    <mergeCell ref="B35:G35"/>
    <mergeCell ref="G5:I5"/>
    <mergeCell ref="G8:I8"/>
    <mergeCell ref="G9:J9"/>
    <mergeCell ref="B10:D10"/>
    <mergeCell ref="G10:I10"/>
    <mergeCell ref="B5:D5"/>
    <mergeCell ref="B6:D6"/>
    <mergeCell ref="G6:I6"/>
    <mergeCell ref="B7:D7"/>
    <mergeCell ref="G7:I7"/>
    <mergeCell ref="B8:D8"/>
    <mergeCell ref="B9:D9"/>
    <mergeCell ref="B1:J1"/>
    <mergeCell ref="B3:E3"/>
    <mergeCell ref="G3:J3"/>
    <mergeCell ref="L3:M3"/>
    <mergeCell ref="B4:D4"/>
    <mergeCell ref="G4:J4"/>
  </mergeCells>
  <pageMargins left="0.7" right="0.7" top="0.75" bottom="0.75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 xr:uid="{00000000-0002-0000-0500-000000000000}">
          <x14:formula1>
            <xm:f>Dropdowns!$A$1:$A$3</xm:f>
          </x14:formula1>
          <xm:sqref>E4 J5:J6 E7</xm:sqref>
        </x14:dataValidation>
        <x14:dataValidation type="list" allowBlank="1" showErrorMessage="1" xr:uid="{00000000-0002-0000-0500-000001000000}">
          <x14:formula1>
            <xm:f>Dropdowns!$B$1:$B$9</xm:f>
          </x14:formula1>
          <xm:sqref>E5</xm:sqref>
        </x14:dataValidation>
        <x14:dataValidation type="list" allowBlank="1" showErrorMessage="1" xr:uid="{00000000-0002-0000-0500-000002000000}">
          <x14:formula1>
            <xm:f>Dropdowns!$E$12:$E$21</xm:f>
          </x14:formula1>
          <xm:sqref>C18:V18</xm:sqref>
        </x14:dataValidation>
        <x14:dataValidation type="list" allowBlank="1" showErrorMessage="1" xr:uid="{00000000-0002-0000-0500-000003000000}">
          <x14:formula1>
            <xm:f>Dropdowns!$N$2:$N$22</xm:f>
          </x14:formula1>
          <xm:sqref>J8</xm:sqref>
        </x14:dataValidation>
        <x14:dataValidation type="list" allowBlank="1" showErrorMessage="1" xr:uid="{00000000-0002-0000-0500-000004000000}">
          <x14:formula1>
            <xm:f>Dropdowns!$N$2:$N$17</xm:f>
          </x14:formula1>
          <xm:sqref>E6 J7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DEEAF6"/>
  </sheetPr>
  <dimension ref="A1:W36"/>
  <sheetViews>
    <sheetView topLeftCell="A3" workbookViewId="0">
      <selection activeCell="M7" sqref="M7"/>
    </sheetView>
  </sheetViews>
  <sheetFormatPr defaultColWidth="11.25" defaultRowHeight="15" customHeight="1" x14ac:dyDescent="0.35"/>
  <cols>
    <col min="1" max="1" width="2" customWidth="1"/>
    <col min="2" max="2" width="11.08203125" customWidth="1"/>
    <col min="3" max="23" width="7.75" customWidth="1"/>
  </cols>
  <sheetData>
    <row r="1" spans="1:23" ht="18.5" x14ac:dyDescent="0.35">
      <c r="A1" s="39"/>
      <c r="B1" s="93" t="s">
        <v>78</v>
      </c>
      <c r="C1" s="94"/>
      <c r="D1" s="94"/>
      <c r="E1" s="94"/>
      <c r="F1" s="94"/>
      <c r="G1" s="94"/>
      <c r="H1" s="94"/>
      <c r="I1" s="94"/>
      <c r="J1" s="87"/>
      <c r="K1" s="40"/>
      <c r="L1" s="40"/>
      <c r="M1" s="40"/>
      <c r="N1" s="40"/>
      <c r="O1" s="39"/>
      <c r="P1" s="39"/>
      <c r="Q1" s="39"/>
      <c r="R1" s="39"/>
      <c r="S1" s="39"/>
      <c r="T1" s="39"/>
      <c r="U1" s="39"/>
      <c r="V1" s="39"/>
      <c r="W1" s="39"/>
    </row>
    <row r="2" spans="1:23" ht="12" customHeight="1" x14ac:dyDescent="0.35">
      <c r="A2" s="39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39"/>
      <c r="P2" s="39"/>
      <c r="Q2" s="39"/>
      <c r="R2" s="39"/>
      <c r="S2" s="39"/>
      <c r="T2" s="39"/>
      <c r="U2" s="39"/>
      <c r="V2" s="39"/>
      <c r="W2" s="39"/>
    </row>
    <row r="3" spans="1:23" ht="15.5" x14ac:dyDescent="0.35">
      <c r="A3" s="39"/>
      <c r="B3" s="95" t="s">
        <v>79</v>
      </c>
      <c r="C3" s="96"/>
      <c r="D3" s="96"/>
      <c r="E3" s="97"/>
      <c r="F3" s="40"/>
      <c r="G3" s="95" t="s">
        <v>80</v>
      </c>
      <c r="H3" s="96"/>
      <c r="I3" s="96"/>
      <c r="J3" s="97"/>
      <c r="K3" s="40"/>
      <c r="L3" s="98" t="s">
        <v>81</v>
      </c>
      <c r="M3" s="87"/>
      <c r="N3" s="40"/>
      <c r="O3" s="39"/>
      <c r="P3" s="39"/>
      <c r="Q3" s="39"/>
      <c r="R3" s="39"/>
      <c r="S3" s="39"/>
      <c r="T3" s="39"/>
      <c r="U3" s="39"/>
      <c r="V3" s="39"/>
      <c r="W3" s="39"/>
    </row>
    <row r="4" spans="1:23" ht="15" customHeight="1" x14ac:dyDescent="0.35">
      <c r="A4" s="39"/>
      <c r="B4" s="99" t="s">
        <v>82</v>
      </c>
      <c r="C4" s="94"/>
      <c r="D4" s="87"/>
      <c r="E4" s="41"/>
      <c r="F4" s="40"/>
      <c r="G4" s="99"/>
      <c r="H4" s="94"/>
      <c r="I4" s="94"/>
      <c r="J4" s="87"/>
      <c r="K4" s="40"/>
      <c r="L4" s="42" t="s">
        <v>209</v>
      </c>
      <c r="M4" s="43">
        <f>C22</f>
        <v>0</v>
      </c>
      <c r="N4" s="40"/>
      <c r="O4" s="39"/>
      <c r="P4" s="39"/>
      <c r="Q4" s="39"/>
      <c r="R4" s="39"/>
      <c r="S4" s="39"/>
      <c r="T4" s="39"/>
      <c r="U4" s="39"/>
      <c r="V4" s="39"/>
      <c r="W4" s="39"/>
    </row>
    <row r="5" spans="1:23" ht="15" customHeight="1" x14ac:dyDescent="0.35">
      <c r="A5" s="39"/>
      <c r="B5" s="99" t="s">
        <v>84</v>
      </c>
      <c r="C5" s="94"/>
      <c r="D5" s="87"/>
      <c r="E5" s="41"/>
      <c r="F5" s="40"/>
      <c r="G5" s="99" t="s">
        <v>85</v>
      </c>
      <c r="H5" s="94"/>
      <c r="I5" s="87"/>
      <c r="J5" s="41" t="str">
        <f>IF(SUM(C30:V30)&gt;1500,"Ja","Nee")</f>
        <v>Nee</v>
      </c>
      <c r="K5" s="40"/>
      <c r="L5" s="42" t="s">
        <v>86</v>
      </c>
      <c r="M5" s="43">
        <f>C20</f>
        <v>0</v>
      </c>
      <c r="N5" s="40"/>
      <c r="O5" s="39"/>
      <c r="P5" s="39"/>
      <c r="Q5" s="39"/>
      <c r="R5" s="39"/>
      <c r="S5" s="39"/>
      <c r="T5" s="39"/>
      <c r="U5" s="39"/>
      <c r="V5" s="39"/>
      <c r="W5" s="39"/>
    </row>
    <row r="6" spans="1:23" ht="15" customHeight="1" x14ac:dyDescent="0.35">
      <c r="A6" s="39"/>
      <c r="B6" s="99" t="s">
        <v>87</v>
      </c>
      <c r="C6" s="94"/>
      <c r="D6" s="87"/>
      <c r="E6" s="42">
        <v>0</v>
      </c>
      <c r="F6" s="40"/>
      <c r="G6" s="99" t="s">
        <v>88</v>
      </c>
      <c r="H6" s="94"/>
      <c r="I6" s="87"/>
      <c r="J6" s="41"/>
      <c r="K6" s="40"/>
      <c r="L6" s="42" t="s">
        <v>89</v>
      </c>
      <c r="M6" s="108" t="str">
        <f>C21</f>
        <v>0</v>
      </c>
      <c r="N6" s="40"/>
      <c r="O6" s="39"/>
      <c r="P6" s="39"/>
      <c r="Q6" s="39"/>
      <c r="R6" s="39"/>
      <c r="S6" s="39"/>
      <c r="T6" s="39"/>
      <c r="U6" s="39"/>
      <c r="V6" s="39"/>
      <c r="W6" s="39"/>
    </row>
    <row r="7" spans="1:23" ht="15" customHeight="1" x14ac:dyDescent="0.35">
      <c r="A7" s="39"/>
      <c r="B7" s="99" t="s">
        <v>90</v>
      </c>
      <c r="C7" s="94"/>
      <c r="D7" s="87"/>
      <c r="E7" s="45"/>
      <c r="F7" s="40"/>
      <c r="G7" s="99" t="s">
        <v>91</v>
      </c>
      <c r="H7" s="94"/>
      <c r="I7" s="87"/>
      <c r="J7" s="42"/>
      <c r="K7" s="40"/>
      <c r="L7" s="40"/>
      <c r="M7" s="40"/>
      <c r="N7" s="40"/>
      <c r="O7" s="39"/>
      <c r="P7" s="39"/>
      <c r="Q7" s="39"/>
      <c r="R7" s="39"/>
      <c r="S7" s="39"/>
      <c r="T7" s="39"/>
      <c r="U7" s="39"/>
      <c r="V7" s="39"/>
      <c r="W7" s="39"/>
    </row>
    <row r="8" spans="1:23" ht="15" customHeight="1" x14ac:dyDescent="0.35">
      <c r="A8" s="39"/>
      <c r="B8" s="99" t="s">
        <v>92</v>
      </c>
      <c r="C8" s="94"/>
      <c r="D8" s="87"/>
      <c r="E8" s="46"/>
      <c r="F8" s="40"/>
      <c r="G8" s="99" t="s">
        <v>93</v>
      </c>
      <c r="H8" s="94"/>
      <c r="I8" s="87"/>
      <c r="J8" s="42"/>
      <c r="K8" s="40"/>
      <c r="L8" s="42" t="s">
        <v>94</v>
      </c>
      <c r="M8" s="47">
        <f ca="1">'Algemene info'!B6</f>
        <v>126</v>
      </c>
      <c r="N8" s="40"/>
      <c r="O8" s="39"/>
      <c r="P8" s="39"/>
      <c r="Q8" s="39"/>
      <c r="R8" s="39"/>
      <c r="S8" s="39"/>
      <c r="T8" s="39"/>
      <c r="U8" s="39"/>
      <c r="V8" s="39"/>
      <c r="W8" s="39"/>
    </row>
    <row r="9" spans="1:23" ht="15" customHeight="1" x14ac:dyDescent="0.35">
      <c r="A9" s="39"/>
      <c r="B9" s="99" t="s">
        <v>95</v>
      </c>
      <c r="C9" s="94"/>
      <c r="D9" s="87"/>
      <c r="E9" s="48"/>
      <c r="F9" s="40"/>
      <c r="G9" s="99"/>
      <c r="H9" s="94"/>
      <c r="I9" s="94"/>
      <c r="J9" s="87"/>
      <c r="K9" s="40"/>
      <c r="L9" s="40"/>
      <c r="M9" s="40"/>
      <c r="N9" s="40"/>
      <c r="O9" s="39"/>
      <c r="P9" s="39"/>
      <c r="Q9" s="39"/>
      <c r="R9" s="39"/>
      <c r="S9" s="39"/>
      <c r="T9" s="39"/>
      <c r="U9" s="39"/>
      <c r="V9" s="39"/>
      <c r="W9" s="39"/>
    </row>
    <row r="10" spans="1:23" ht="15" customHeight="1" x14ac:dyDescent="0.35">
      <c r="A10" s="39"/>
      <c r="B10" s="99" t="s">
        <v>96</v>
      </c>
      <c r="C10" s="94"/>
      <c r="D10" s="87"/>
      <c r="E10" s="46">
        <f>E9-E8</f>
        <v>0</v>
      </c>
      <c r="F10" s="40"/>
      <c r="G10" s="99" t="s">
        <v>97</v>
      </c>
      <c r="H10" s="94"/>
      <c r="I10" s="87"/>
      <c r="J10" s="49">
        <f ca="1">30+(M8*30)</f>
        <v>3810</v>
      </c>
      <c r="K10" s="40"/>
      <c r="L10" s="40"/>
      <c r="M10" s="40"/>
      <c r="N10" s="40"/>
      <c r="O10" s="39"/>
      <c r="P10" s="39"/>
      <c r="Q10" s="39"/>
      <c r="R10" s="39"/>
      <c r="S10" s="39"/>
      <c r="T10" s="39"/>
      <c r="U10" s="39"/>
      <c r="V10" s="39"/>
      <c r="W10" s="39"/>
    </row>
    <row r="11" spans="1:23" ht="15.75" customHeight="1" x14ac:dyDescent="0.35">
      <c r="A11" s="39"/>
      <c r="B11" s="99" t="s">
        <v>98</v>
      </c>
      <c r="C11" s="94"/>
      <c r="D11" s="87"/>
      <c r="E11" s="46">
        <f>SUMIF(C19:V19,"true",C16:V16)</f>
        <v>0</v>
      </c>
      <c r="F11" s="40"/>
      <c r="G11" s="40"/>
      <c r="H11" s="40"/>
      <c r="I11" s="40"/>
      <c r="J11" s="40"/>
      <c r="K11" s="40"/>
      <c r="L11" s="40"/>
      <c r="M11" s="40"/>
      <c r="N11" s="40"/>
      <c r="O11" s="39"/>
      <c r="P11" s="39"/>
      <c r="Q11" s="39"/>
      <c r="R11" s="39"/>
      <c r="S11" s="39"/>
      <c r="T11" s="39"/>
      <c r="U11" s="39"/>
      <c r="V11" s="39"/>
      <c r="W11" s="39"/>
    </row>
    <row r="12" spans="1:23" ht="12" customHeight="1" x14ac:dyDescent="0.35">
      <c r="A12" s="39"/>
      <c r="B12" s="50"/>
      <c r="C12" s="50"/>
      <c r="D12" s="50"/>
      <c r="E12" s="50"/>
      <c r="F12" s="40"/>
      <c r="G12" s="40"/>
      <c r="H12" s="40"/>
      <c r="I12" s="40"/>
      <c r="J12" s="40"/>
      <c r="K12" s="40"/>
      <c r="L12" s="40"/>
      <c r="M12" s="40"/>
      <c r="N12" s="40"/>
      <c r="O12" s="39"/>
      <c r="P12" s="39"/>
      <c r="Q12" s="39"/>
      <c r="R12" s="39"/>
      <c r="S12" s="39"/>
      <c r="T12" s="39"/>
      <c r="U12" s="39"/>
      <c r="V12" s="39"/>
      <c r="W12" s="39"/>
    </row>
    <row r="13" spans="1:23" ht="15.5" x14ac:dyDescent="0.35">
      <c r="A13" s="39"/>
      <c r="B13" s="95" t="s">
        <v>99</v>
      </c>
      <c r="C13" s="96"/>
      <c r="D13" s="96"/>
      <c r="E13" s="97"/>
      <c r="F13" s="51"/>
      <c r="G13" s="40"/>
      <c r="H13" s="40"/>
      <c r="I13" s="40"/>
      <c r="J13" s="40"/>
      <c r="K13" s="40"/>
      <c r="L13" s="40"/>
      <c r="M13" s="40"/>
      <c r="N13" s="40"/>
      <c r="O13" s="39"/>
      <c r="P13" s="39"/>
      <c r="Q13" s="39"/>
      <c r="R13" s="39"/>
      <c r="S13" s="39"/>
      <c r="T13" s="39"/>
      <c r="U13" s="39"/>
      <c r="V13" s="39"/>
      <c r="W13" s="39"/>
    </row>
    <row r="14" spans="1:23" ht="15" customHeight="1" x14ac:dyDescent="0.35">
      <c r="A14" s="39"/>
      <c r="B14" s="41"/>
      <c r="C14" s="52" t="s">
        <v>100</v>
      </c>
      <c r="D14" s="52" t="s">
        <v>101</v>
      </c>
      <c r="E14" s="52" t="s">
        <v>102</v>
      </c>
      <c r="F14" s="52" t="s">
        <v>103</v>
      </c>
      <c r="G14" s="52" t="s">
        <v>104</v>
      </c>
      <c r="H14" s="52" t="s">
        <v>105</v>
      </c>
      <c r="I14" s="52" t="s">
        <v>106</v>
      </c>
      <c r="J14" s="52" t="s">
        <v>107</v>
      </c>
      <c r="K14" s="52" t="s">
        <v>108</v>
      </c>
      <c r="L14" s="52" t="s">
        <v>109</v>
      </c>
      <c r="M14" s="52" t="s">
        <v>110</v>
      </c>
      <c r="N14" s="52" t="s">
        <v>111</v>
      </c>
      <c r="O14" s="52" t="s">
        <v>112</v>
      </c>
      <c r="P14" s="52" t="s">
        <v>113</v>
      </c>
      <c r="Q14" s="52" t="s">
        <v>114</v>
      </c>
      <c r="R14" s="52" t="s">
        <v>115</v>
      </c>
      <c r="S14" s="52" t="s">
        <v>116</v>
      </c>
      <c r="T14" s="52" t="s">
        <v>117</v>
      </c>
      <c r="U14" s="52" t="s">
        <v>118</v>
      </c>
      <c r="V14" s="52" t="s">
        <v>119</v>
      </c>
      <c r="W14" s="39"/>
    </row>
    <row r="15" spans="1:23" ht="15" customHeight="1" x14ac:dyDescent="0.35">
      <c r="A15" s="39"/>
      <c r="B15" s="41" t="s">
        <v>120</v>
      </c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39"/>
    </row>
    <row r="16" spans="1:23" ht="15" customHeight="1" x14ac:dyDescent="0.35">
      <c r="A16" s="39"/>
      <c r="B16" s="41" t="s">
        <v>121</v>
      </c>
      <c r="C16" s="53"/>
      <c r="D16" s="54"/>
      <c r="E16" s="54"/>
      <c r="F16" s="54"/>
      <c r="G16" s="54"/>
      <c r="H16" s="54"/>
      <c r="I16" s="54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39"/>
    </row>
    <row r="17" spans="1:23" ht="15" customHeight="1" x14ac:dyDescent="0.35">
      <c r="A17" s="39"/>
      <c r="B17" s="41" t="s">
        <v>122</v>
      </c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39"/>
    </row>
    <row r="18" spans="1:23" ht="15" customHeight="1" x14ac:dyDescent="0.35">
      <c r="A18" s="39"/>
      <c r="B18" s="41" t="s">
        <v>123</v>
      </c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39"/>
    </row>
    <row r="19" spans="1:23" ht="15" customHeight="1" x14ac:dyDescent="0.35">
      <c r="A19" s="39"/>
      <c r="B19" s="55" t="s">
        <v>124</v>
      </c>
      <c r="C19" s="56" t="b">
        <v>0</v>
      </c>
      <c r="D19" s="52" t="b">
        <v>0</v>
      </c>
      <c r="E19" s="52" t="b">
        <v>0</v>
      </c>
      <c r="F19" s="52" t="b">
        <v>0</v>
      </c>
      <c r="G19" s="52" t="b">
        <v>0</v>
      </c>
      <c r="H19" s="52" t="b">
        <v>0</v>
      </c>
      <c r="I19" s="52" t="b">
        <v>0</v>
      </c>
      <c r="J19" s="52" t="b">
        <v>0</v>
      </c>
      <c r="K19" s="52" t="b">
        <v>0</v>
      </c>
      <c r="L19" s="52" t="b">
        <v>0</v>
      </c>
      <c r="M19" s="52" t="b">
        <v>0</v>
      </c>
      <c r="N19" s="52" t="b">
        <v>0</v>
      </c>
      <c r="O19" s="52" t="b">
        <v>0</v>
      </c>
      <c r="P19" s="52" t="b">
        <v>0</v>
      </c>
      <c r="Q19" s="52" t="b">
        <v>0</v>
      </c>
      <c r="R19" s="52" t="b">
        <v>0</v>
      </c>
      <c r="S19" s="52" t="b">
        <v>0</v>
      </c>
      <c r="T19" s="52" t="b">
        <v>0</v>
      </c>
      <c r="U19" s="52" t="b">
        <v>0</v>
      </c>
      <c r="V19" s="52" t="b">
        <v>0</v>
      </c>
      <c r="W19" s="39"/>
    </row>
    <row r="20" spans="1:23" ht="15" customHeight="1" x14ac:dyDescent="0.35">
      <c r="A20" s="39"/>
      <c r="B20" s="57" t="s">
        <v>86</v>
      </c>
      <c r="C20" s="58">
        <f>MAX(C16:V16)</f>
        <v>0</v>
      </c>
      <c r="D20" s="59"/>
      <c r="E20" s="60"/>
      <c r="F20" s="61"/>
      <c r="G20" s="61"/>
      <c r="H20" s="61"/>
      <c r="I20" s="61"/>
      <c r="J20" s="61"/>
      <c r="K20" s="61"/>
      <c r="L20" s="61"/>
      <c r="M20" s="61"/>
      <c r="N20" s="61"/>
      <c r="O20" s="39"/>
      <c r="P20" s="39"/>
      <c r="Q20" s="39"/>
      <c r="R20" s="39"/>
      <c r="S20" s="39"/>
      <c r="T20" s="39"/>
      <c r="U20" s="39"/>
      <c r="V20" s="39"/>
      <c r="W20" s="39"/>
    </row>
    <row r="21" spans="1:23" ht="15" customHeight="1" x14ac:dyDescent="0.35">
      <c r="A21" s="39"/>
      <c r="B21" s="62" t="s">
        <v>89</v>
      </c>
      <c r="C21" s="63" t="str">
        <f>IFERROR(AVERAGE(C16:V16),"0")</f>
        <v>0</v>
      </c>
      <c r="D21" s="60"/>
      <c r="E21" s="60"/>
      <c r="F21" s="61"/>
      <c r="G21" s="61"/>
      <c r="H21" s="61"/>
      <c r="I21" s="61"/>
      <c r="J21" s="61"/>
      <c r="K21" s="61"/>
      <c r="L21" s="61"/>
      <c r="M21" s="61"/>
      <c r="N21" s="61"/>
      <c r="O21" s="39"/>
      <c r="P21" s="39"/>
      <c r="Q21" s="39"/>
      <c r="R21" s="39"/>
      <c r="S21" s="39"/>
      <c r="T21" s="39"/>
      <c r="U21" s="39"/>
      <c r="V21" s="39"/>
      <c r="W21" s="39"/>
    </row>
    <row r="22" spans="1:23" ht="15" customHeight="1" x14ac:dyDescent="0.35">
      <c r="A22" s="39"/>
      <c r="B22" s="64" t="s">
        <v>125</v>
      </c>
      <c r="C22" s="65">
        <f>SUM(C16:V16)</f>
        <v>0</v>
      </c>
      <c r="D22" s="60"/>
      <c r="E22" s="60"/>
      <c r="F22" s="61"/>
      <c r="G22" s="61"/>
      <c r="H22" s="61"/>
      <c r="I22" s="61"/>
      <c r="J22" s="61"/>
      <c r="K22" s="61"/>
      <c r="L22" s="61"/>
      <c r="M22" s="61"/>
      <c r="N22" s="61"/>
      <c r="O22" s="39"/>
      <c r="P22" s="39"/>
      <c r="Q22" s="39"/>
      <c r="R22" s="39"/>
      <c r="S22" s="39"/>
      <c r="T22" s="39"/>
      <c r="U22" s="39"/>
      <c r="V22" s="39"/>
      <c r="W22" s="39"/>
    </row>
    <row r="23" spans="1:23" ht="15" customHeight="1" x14ac:dyDescent="0.35">
      <c r="A23" s="39"/>
      <c r="B23" s="61"/>
      <c r="C23" s="39"/>
      <c r="D23" s="39"/>
      <c r="E23" s="39"/>
      <c r="F23" s="66"/>
      <c r="G23" s="66"/>
      <c r="H23" s="66"/>
      <c r="I23" s="40"/>
      <c r="J23" s="40"/>
      <c r="K23" s="40"/>
      <c r="L23" s="40"/>
      <c r="M23" s="40"/>
      <c r="N23" s="40"/>
      <c r="O23" s="39"/>
      <c r="P23" s="39"/>
      <c r="Q23" s="39"/>
      <c r="R23" s="39"/>
      <c r="S23" s="39"/>
      <c r="T23" s="39"/>
      <c r="U23" s="39"/>
      <c r="V23" s="39"/>
      <c r="W23" s="39"/>
    </row>
    <row r="24" spans="1:23" ht="15" customHeight="1" x14ac:dyDescent="0.35">
      <c r="A24" s="39"/>
      <c r="B24" s="99" t="s">
        <v>155</v>
      </c>
      <c r="C24" s="94"/>
      <c r="D24" s="87"/>
      <c r="E24" s="46">
        <f>SUM(E10:E11)</f>
        <v>0</v>
      </c>
      <c r="F24" s="61"/>
      <c r="G24" s="61"/>
      <c r="H24" s="61"/>
      <c r="I24" s="40"/>
      <c r="J24" s="40"/>
      <c r="K24" s="40"/>
      <c r="L24" s="40"/>
      <c r="M24" s="40"/>
      <c r="N24" s="40"/>
      <c r="O24" s="39"/>
      <c r="P24" s="39"/>
      <c r="Q24" s="39"/>
      <c r="R24" s="39"/>
      <c r="S24" s="39"/>
      <c r="T24" s="39"/>
      <c r="U24" s="39"/>
      <c r="V24" s="39"/>
      <c r="W24" s="39"/>
    </row>
    <row r="25" spans="1:23" ht="15" customHeight="1" x14ac:dyDescent="0.35">
      <c r="A25" s="39"/>
      <c r="B25" s="61"/>
      <c r="C25" s="61"/>
      <c r="D25" s="61"/>
      <c r="E25" s="61"/>
      <c r="F25" s="61"/>
      <c r="G25" s="61"/>
      <c r="H25" s="61"/>
      <c r="I25" s="40"/>
      <c r="J25" s="40"/>
      <c r="K25" s="40"/>
      <c r="L25" s="40"/>
      <c r="M25" s="40"/>
      <c r="N25" s="40"/>
      <c r="O25" s="39"/>
      <c r="P25" s="39"/>
      <c r="Q25" s="39"/>
      <c r="R25" s="39"/>
      <c r="S25" s="39"/>
      <c r="T25" s="39"/>
      <c r="U25" s="39"/>
      <c r="V25" s="39"/>
      <c r="W25" s="39"/>
    </row>
    <row r="26" spans="1:23" ht="15" customHeight="1" x14ac:dyDescent="0.35">
      <c r="A26" s="39"/>
      <c r="B26" s="61"/>
      <c r="C26" s="61"/>
      <c r="D26" s="61"/>
      <c r="E26" s="61"/>
      <c r="F26" s="61"/>
      <c r="G26" s="61"/>
      <c r="H26" s="61"/>
      <c r="I26" s="40"/>
      <c r="J26" s="40"/>
      <c r="K26" s="40"/>
      <c r="L26" s="40"/>
      <c r="M26" s="40"/>
      <c r="N26" s="40"/>
      <c r="O26" s="39"/>
      <c r="P26" s="39"/>
      <c r="Q26" s="39"/>
      <c r="R26" s="39"/>
      <c r="S26" s="39"/>
      <c r="T26" s="39"/>
      <c r="U26" s="39"/>
      <c r="V26" s="39"/>
      <c r="W26" s="39"/>
    </row>
    <row r="27" spans="1:23" ht="15" customHeight="1" x14ac:dyDescent="0.35">
      <c r="A27" s="39"/>
      <c r="B27" s="95" t="s">
        <v>127</v>
      </c>
      <c r="C27" s="96"/>
      <c r="D27" s="96"/>
      <c r="E27" s="97"/>
      <c r="F27" s="40"/>
      <c r="G27" s="40"/>
      <c r="H27" s="40"/>
      <c r="I27" s="40"/>
      <c r="J27" s="40"/>
      <c r="K27" s="40"/>
      <c r="L27" s="40"/>
      <c r="M27" s="40"/>
      <c r="N27" s="40"/>
      <c r="O27" s="39"/>
      <c r="P27" s="39"/>
      <c r="Q27" s="39"/>
      <c r="R27" s="39"/>
      <c r="S27" s="39"/>
      <c r="T27" s="39"/>
      <c r="U27" s="39"/>
      <c r="V27" s="39"/>
      <c r="W27" s="39"/>
    </row>
    <row r="28" spans="1:23" ht="15" customHeight="1" x14ac:dyDescent="0.35">
      <c r="A28" s="39"/>
      <c r="B28" s="45"/>
      <c r="C28" s="67" t="s">
        <v>128</v>
      </c>
      <c r="D28" s="67" t="s">
        <v>129</v>
      </c>
      <c r="E28" s="67" t="s">
        <v>130</v>
      </c>
      <c r="F28" s="52" t="s">
        <v>131</v>
      </c>
      <c r="G28" s="52" t="s">
        <v>132</v>
      </c>
      <c r="H28" s="52" t="s">
        <v>133</v>
      </c>
      <c r="I28" s="52" t="s">
        <v>134</v>
      </c>
      <c r="J28" s="52" t="s">
        <v>135</v>
      </c>
      <c r="K28" s="52" t="s">
        <v>136</v>
      </c>
      <c r="L28" s="52" t="s">
        <v>137</v>
      </c>
      <c r="M28" s="52" t="s">
        <v>138</v>
      </c>
      <c r="N28" s="52" t="s">
        <v>139</v>
      </c>
      <c r="O28" s="52" t="s">
        <v>140</v>
      </c>
      <c r="P28" s="52" t="s">
        <v>141</v>
      </c>
      <c r="Q28" s="52" t="s">
        <v>142</v>
      </c>
      <c r="R28" s="52" t="s">
        <v>143</v>
      </c>
      <c r="S28" s="52" t="s">
        <v>144</v>
      </c>
      <c r="T28" s="52" t="s">
        <v>145</v>
      </c>
      <c r="U28" s="52" t="s">
        <v>146</v>
      </c>
      <c r="V28" s="52" t="s">
        <v>147</v>
      </c>
      <c r="W28" s="39"/>
    </row>
    <row r="29" spans="1:23" ht="15" customHeight="1" x14ac:dyDescent="0.35">
      <c r="A29" s="39"/>
      <c r="B29" s="41" t="s">
        <v>120</v>
      </c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39"/>
    </row>
    <row r="30" spans="1:23" ht="15" customHeight="1" x14ac:dyDescent="0.35">
      <c r="A30" s="39"/>
      <c r="B30" s="41" t="s">
        <v>148</v>
      </c>
      <c r="C30" s="69"/>
      <c r="D30" s="54"/>
      <c r="E30" s="54"/>
      <c r="F30" s="54"/>
      <c r="G30" s="69"/>
      <c r="H30" s="54"/>
      <c r="I30" s="54"/>
      <c r="J30" s="54"/>
      <c r="K30" s="54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39"/>
    </row>
    <row r="31" spans="1:23" ht="15" customHeight="1" x14ac:dyDescent="0.35">
      <c r="A31" s="39"/>
      <c r="B31" s="55" t="s">
        <v>149</v>
      </c>
      <c r="C31" s="74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39"/>
    </row>
    <row r="32" spans="1:23" ht="15" customHeight="1" x14ac:dyDescent="0.35">
      <c r="A32" s="39"/>
      <c r="B32" s="71" t="s">
        <v>150</v>
      </c>
      <c r="C32" s="72">
        <f>SUM(C30:V30)</f>
        <v>0</v>
      </c>
      <c r="D32" s="60"/>
      <c r="E32" s="60"/>
      <c r="F32" s="61"/>
      <c r="G32" s="61"/>
      <c r="H32" s="61"/>
      <c r="I32" s="61"/>
      <c r="J32" s="61"/>
      <c r="K32" s="61"/>
      <c r="L32" s="61"/>
      <c r="M32" s="61"/>
      <c r="N32" s="61"/>
      <c r="O32" s="39"/>
      <c r="P32" s="39"/>
      <c r="Q32" s="39"/>
      <c r="R32" s="39"/>
      <c r="S32" s="39"/>
      <c r="T32" s="39"/>
      <c r="U32" s="39"/>
      <c r="V32" s="39"/>
      <c r="W32" s="39"/>
    </row>
    <row r="33" spans="1:23" ht="12" customHeight="1" x14ac:dyDescent="0.35">
      <c r="A33" s="39"/>
      <c r="B33" s="50"/>
      <c r="C33" s="50"/>
      <c r="D33" s="50"/>
      <c r="E33" s="50"/>
      <c r="F33" s="50"/>
      <c r="G33" s="50"/>
      <c r="H33" s="40"/>
      <c r="I33" s="40"/>
      <c r="J33" s="40"/>
      <c r="K33" s="40"/>
      <c r="L33" s="40"/>
      <c r="M33" s="40"/>
      <c r="N33" s="40"/>
      <c r="O33" s="39"/>
      <c r="P33" s="39"/>
      <c r="Q33" s="39"/>
      <c r="R33" s="39"/>
      <c r="S33" s="39"/>
      <c r="T33" s="39"/>
      <c r="U33" s="39"/>
      <c r="V33" s="39"/>
      <c r="W33" s="39"/>
    </row>
    <row r="34" spans="1:23" ht="12" customHeight="1" x14ac:dyDescent="0.35">
      <c r="A34" s="39"/>
      <c r="B34" s="73" t="s">
        <v>151</v>
      </c>
      <c r="C34" s="73"/>
      <c r="D34" s="73"/>
      <c r="E34" s="73"/>
      <c r="F34" s="73"/>
      <c r="G34" s="73"/>
      <c r="H34" s="40"/>
      <c r="I34" s="40"/>
      <c r="J34" s="40"/>
      <c r="K34" s="40"/>
      <c r="L34" s="40"/>
      <c r="M34" s="40"/>
      <c r="N34" s="40"/>
      <c r="O34" s="39"/>
      <c r="P34" s="39"/>
      <c r="Q34" s="39"/>
      <c r="R34" s="39"/>
      <c r="S34" s="39"/>
      <c r="T34" s="39"/>
      <c r="U34" s="39"/>
      <c r="V34" s="39"/>
      <c r="W34" s="39"/>
    </row>
    <row r="35" spans="1:23" ht="193.5" customHeight="1" x14ac:dyDescent="0.35">
      <c r="A35" s="39"/>
      <c r="B35" s="100"/>
      <c r="C35" s="101"/>
      <c r="D35" s="101"/>
      <c r="E35" s="101"/>
      <c r="F35" s="101"/>
      <c r="G35" s="101"/>
      <c r="H35" s="40"/>
      <c r="I35" s="40"/>
      <c r="J35" s="40"/>
      <c r="K35" s="40"/>
      <c r="L35" s="40"/>
      <c r="M35" s="40"/>
      <c r="N35" s="40"/>
      <c r="O35" s="39"/>
      <c r="P35" s="39"/>
      <c r="Q35" s="39"/>
      <c r="R35" s="39"/>
      <c r="S35" s="39"/>
      <c r="T35" s="39"/>
      <c r="U35" s="39"/>
      <c r="V35" s="39"/>
      <c r="W35" s="39"/>
    </row>
    <row r="36" spans="1:23" ht="12" customHeight="1" x14ac:dyDescent="0.35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</row>
  </sheetData>
  <mergeCells count="23">
    <mergeCell ref="B11:D11"/>
    <mergeCell ref="B13:E13"/>
    <mergeCell ref="B24:D24"/>
    <mergeCell ref="B27:E27"/>
    <mergeCell ref="B35:G35"/>
    <mergeCell ref="G5:I5"/>
    <mergeCell ref="G8:I8"/>
    <mergeCell ref="G9:J9"/>
    <mergeCell ref="B10:D10"/>
    <mergeCell ref="G10:I10"/>
    <mergeCell ref="B5:D5"/>
    <mergeCell ref="B6:D6"/>
    <mergeCell ref="G6:I6"/>
    <mergeCell ref="B7:D7"/>
    <mergeCell ref="G7:I7"/>
    <mergeCell ref="B8:D8"/>
    <mergeCell ref="B9:D9"/>
    <mergeCell ref="B1:J1"/>
    <mergeCell ref="B3:E3"/>
    <mergeCell ref="G3:J3"/>
    <mergeCell ref="L3:M3"/>
    <mergeCell ref="B4:D4"/>
    <mergeCell ref="G4:J4"/>
  </mergeCells>
  <pageMargins left="0.7" right="0.7" top="0.75" bottom="0.75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 xr:uid="{00000000-0002-0000-0600-000000000000}">
          <x14:formula1>
            <xm:f>Dropdowns!$A$1:$A$3</xm:f>
          </x14:formula1>
          <xm:sqref>E4 J5:J6 E7</xm:sqref>
        </x14:dataValidation>
        <x14:dataValidation type="list" allowBlank="1" showErrorMessage="1" xr:uid="{00000000-0002-0000-0600-000001000000}">
          <x14:formula1>
            <xm:f>Dropdowns!$B$1:$B$9</xm:f>
          </x14:formula1>
          <xm:sqref>E5</xm:sqref>
        </x14:dataValidation>
        <x14:dataValidation type="list" allowBlank="1" showErrorMessage="1" xr:uid="{00000000-0002-0000-0600-000002000000}">
          <x14:formula1>
            <xm:f>Dropdowns!$E$12:$E$21</xm:f>
          </x14:formula1>
          <xm:sqref>C18:V18</xm:sqref>
        </x14:dataValidation>
        <x14:dataValidation type="list" allowBlank="1" showErrorMessage="1" xr:uid="{00000000-0002-0000-0600-000003000000}">
          <x14:formula1>
            <xm:f>Dropdowns!$N$2:$N$22</xm:f>
          </x14:formula1>
          <xm:sqref>J8</xm:sqref>
        </x14:dataValidation>
        <x14:dataValidation type="list" allowBlank="1" showErrorMessage="1" xr:uid="{00000000-0002-0000-0600-000004000000}">
          <x14:formula1>
            <xm:f>Dropdowns!$N$2:$N$17</xm:f>
          </x14:formula1>
          <xm:sqref>E6 J7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DEEAF6"/>
  </sheetPr>
  <dimension ref="A1:W36"/>
  <sheetViews>
    <sheetView workbookViewId="0">
      <selection activeCell="M7" sqref="M7"/>
    </sheetView>
  </sheetViews>
  <sheetFormatPr defaultColWidth="11.25" defaultRowHeight="15" customHeight="1" x14ac:dyDescent="0.35"/>
  <cols>
    <col min="1" max="1" width="2" customWidth="1"/>
    <col min="2" max="2" width="11.08203125" customWidth="1"/>
    <col min="3" max="23" width="7.75" customWidth="1"/>
  </cols>
  <sheetData>
    <row r="1" spans="1:23" ht="18.5" x14ac:dyDescent="0.35">
      <c r="A1" s="39"/>
      <c r="B1" s="93" t="s">
        <v>78</v>
      </c>
      <c r="C1" s="94"/>
      <c r="D1" s="94"/>
      <c r="E1" s="94"/>
      <c r="F1" s="94"/>
      <c r="G1" s="94"/>
      <c r="H1" s="94"/>
      <c r="I1" s="94"/>
      <c r="J1" s="87"/>
      <c r="K1" s="40"/>
      <c r="L1" s="40"/>
      <c r="M1" s="40"/>
      <c r="N1" s="40"/>
      <c r="O1" s="39"/>
      <c r="P1" s="39"/>
      <c r="Q1" s="39"/>
      <c r="R1" s="39"/>
      <c r="S1" s="39"/>
      <c r="T1" s="39"/>
      <c r="U1" s="39"/>
      <c r="V1" s="39"/>
      <c r="W1" s="39"/>
    </row>
    <row r="2" spans="1:23" ht="12" customHeight="1" x14ac:dyDescent="0.35">
      <c r="A2" s="39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39"/>
      <c r="P2" s="39"/>
      <c r="Q2" s="39"/>
      <c r="R2" s="39"/>
      <c r="S2" s="39"/>
      <c r="T2" s="39"/>
      <c r="U2" s="39"/>
      <c r="V2" s="39"/>
      <c r="W2" s="39"/>
    </row>
    <row r="3" spans="1:23" ht="15.5" x14ac:dyDescent="0.35">
      <c r="A3" s="39"/>
      <c r="B3" s="95" t="s">
        <v>79</v>
      </c>
      <c r="C3" s="96"/>
      <c r="D3" s="96"/>
      <c r="E3" s="97"/>
      <c r="F3" s="40"/>
      <c r="G3" s="95" t="s">
        <v>80</v>
      </c>
      <c r="H3" s="96"/>
      <c r="I3" s="96"/>
      <c r="J3" s="97"/>
      <c r="K3" s="40"/>
      <c r="L3" s="98" t="s">
        <v>81</v>
      </c>
      <c r="M3" s="87"/>
      <c r="N3" s="40"/>
      <c r="O3" s="39"/>
      <c r="P3" s="39"/>
      <c r="Q3" s="39"/>
      <c r="R3" s="39"/>
      <c r="S3" s="39"/>
      <c r="T3" s="39"/>
      <c r="U3" s="39"/>
      <c r="V3" s="39"/>
      <c r="W3" s="39"/>
    </row>
    <row r="4" spans="1:23" ht="15" customHeight="1" x14ac:dyDescent="0.35">
      <c r="A4" s="39"/>
      <c r="B4" s="99" t="s">
        <v>82</v>
      </c>
      <c r="C4" s="94"/>
      <c r="D4" s="87"/>
      <c r="E4" s="41"/>
      <c r="F4" s="40"/>
      <c r="G4" s="99"/>
      <c r="H4" s="94"/>
      <c r="I4" s="94"/>
      <c r="J4" s="87"/>
      <c r="K4" s="40"/>
      <c r="L4" s="42" t="s">
        <v>209</v>
      </c>
      <c r="M4" s="43">
        <f>C22</f>
        <v>0</v>
      </c>
      <c r="N4" s="40"/>
      <c r="O4" s="39"/>
      <c r="P4" s="39"/>
      <c r="Q4" s="39"/>
      <c r="R4" s="39"/>
      <c r="S4" s="39"/>
      <c r="T4" s="39"/>
      <c r="U4" s="39"/>
      <c r="V4" s="39"/>
      <c r="W4" s="39"/>
    </row>
    <row r="5" spans="1:23" ht="15" customHeight="1" x14ac:dyDescent="0.35">
      <c r="A5" s="39"/>
      <c r="B5" s="99" t="s">
        <v>84</v>
      </c>
      <c r="C5" s="94"/>
      <c r="D5" s="87"/>
      <c r="E5" s="41"/>
      <c r="F5" s="40"/>
      <c r="G5" s="99" t="s">
        <v>85</v>
      </c>
      <c r="H5" s="94"/>
      <c r="I5" s="87"/>
      <c r="J5" s="41" t="str">
        <f>IF(SUM(C30:V30)&gt;1500,"Ja","Nee")</f>
        <v>Nee</v>
      </c>
      <c r="K5" s="40"/>
      <c r="L5" s="42" t="s">
        <v>86</v>
      </c>
      <c r="M5" s="43">
        <f>C20</f>
        <v>0</v>
      </c>
      <c r="N5" s="40"/>
      <c r="O5" s="39"/>
      <c r="P5" s="39"/>
      <c r="Q5" s="39"/>
      <c r="R5" s="39"/>
      <c r="S5" s="39"/>
      <c r="T5" s="39"/>
      <c r="U5" s="39"/>
      <c r="V5" s="39"/>
      <c r="W5" s="39"/>
    </row>
    <row r="6" spans="1:23" ht="15" customHeight="1" x14ac:dyDescent="0.35">
      <c r="A6" s="39"/>
      <c r="B6" s="99" t="s">
        <v>87</v>
      </c>
      <c r="C6" s="94"/>
      <c r="D6" s="87"/>
      <c r="E6" s="42">
        <v>0</v>
      </c>
      <c r="F6" s="40"/>
      <c r="G6" s="99" t="s">
        <v>88</v>
      </c>
      <c r="H6" s="94"/>
      <c r="I6" s="87"/>
      <c r="J6" s="41"/>
      <c r="K6" s="40"/>
      <c r="L6" s="42" t="s">
        <v>89</v>
      </c>
      <c r="M6" s="108" t="str">
        <f>C21</f>
        <v>0</v>
      </c>
      <c r="N6" s="40"/>
      <c r="O6" s="39"/>
      <c r="P6" s="39"/>
      <c r="Q6" s="39"/>
      <c r="R6" s="39"/>
      <c r="S6" s="39"/>
      <c r="T6" s="39"/>
      <c r="U6" s="39"/>
      <c r="V6" s="39"/>
      <c r="W6" s="39"/>
    </row>
    <row r="7" spans="1:23" ht="15" customHeight="1" x14ac:dyDescent="0.35">
      <c r="A7" s="39"/>
      <c r="B7" s="99" t="s">
        <v>90</v>
      </c>
      <c r="C7" s="94"/>
      <c r="D7" s="87"/>
      <c r="E7" s="45"/>
      <c r="F7" s="40"/>
      <c r="G7" s="99" t="s">
        <v>91</v>
      </c>
      <c r="H7" s="94"/>
      <c r="I7" s="87"/>
      <c r="J7" s="42"/>
      <c r="K7" s="40"/>
      <c r="L7" s="40"/>
      <c r="M7" s="40"/>
      <c r="N7" s="40"/>
      <c r="O7" s="39"/>
      <c r="P7" s="39"/>
      <c r="Q7" s="39"/>
      <c r="R7" s="39"/>
      <c r="S7" s="39"/>
      <c r="T7" s="39"/>
      <c r="U7" s="39"/>
      <c r="V7" s="39"/>
      <c r="W7" s="39"/>
    </row>
    <row r="8" spans="1:23" ht="15" customHeight="1" x14ac:dyDescent="0.35">
      <c r="A8" s="39"/>
      <c r="B8" s="99" t="s">
        <v>92</v>
      </c>
      <c r="C8" s="94"/>
      <c r="D8" s="87"/>
      <c r="E8" s="46"/>
      <c r="F8" s="40"/>
      <c r="G8" s="99" t="s">
        <v>93</v>
      </c>
      <c r="H8" s="94"/>
      <c r="I8" s="87"/>
      <c r="J8" s="42"/>
      <c r="K8" s="40"/>
      <c r="L8" s="42" t="s">
        <v>94</v>
      </c>
      <c r="M8" s="47">
        <f ca="1">'Algemene info'!B6</f>
        <v>126</v>
      </c>
      <c r="N8" s="40"/>
      <c r="O8" s="39"/>
      <c r="P8" s="39"/>
      <c r="Q8" s="39"/>
      <c r="R8" s="39"/>
      <c r="S8" s="39"/>
      <c r="T8" s="39"/>
      <c r="U8" s="39"/>
      <c r="V8" s="39"/>
      <c r="W8" s="39"/>
    </row>
    <row r="9" spans="1:23" ht="15" customHeight="1" x14ac:dyDescent="0.35">
      <c r="A9" s="39"/>
      <c r="B9" s="99" t="s">
        <v>95</v>
      </c>
      <c r="C9" s="94"/>
      <c r="D9" s="87"/>
      <c r="E9" s="48"/>
      <c r="F9" s="40"/>
      <c r="G9" s="99"/>
      <c r="H9" s="94"/>
      <c r="I9" s="94"/>
      <c r="J9" s="87"/>
      <c r="K9" s="40"/>
      <c r="L9" s="40"/>
      <c r="M9" s="40"/>
      <c r="N9" s="40"/>
      <c r="O9" s="39"/>
      <c r="P9" s="39"/>
      <c r="Q9" s="39"/>
      <c r="R9" s="39"/>
      <c r="S9" s="39"/>
      <c r="T9" s="39"/>
      <c r="U9" s="39"/>
      <c r="V9" s="39"/>
      <c r="W9" s="39"/>
    </row>
    <row r="10" spans="1:23" ht="15" customHeight="1" x14ac:dyDescent="0.35">
      <c r="A10" s="39"/>
      <c r="B10" s="99" t="s">
        <v>96</v>
      </c>
      <c r="C10" s="94"/>
      <c r="D10" s="87"/>
      <c r="E10" s="46">
        <f>E9-E8</f>
        <v>0</v>
      </c>
      <c r="F10" s="40"/>
      <c r="G10" s="99" t="s">
        <v>97</v>
      </c>
      <c r="H10" s="94"/>
      <c r="I10" s="87"/>
      <c r="J10" s="49">
        <f ca="1">30+(M8*30)</f>
        <v>3810</v>
      </c>
      <c r="K10" s="40"/>
      <c r="L10" s="40"/>
      <c r="M10" s="40"/>
      <c r="N10" s="40"/>
      <c r="O10" s="39"/>
      <c r="P10" s="39"/>
      <c r="Q10" s="39"/>
      <c r="R10" s="39"/>
      <c r="S10" s="39"/>
      <c r="T10" s="39"/>
      <c r="U10" s="39"/>
      <c r="V10" s="39"/>
      <c r="W10" s="39"/>
    </row>
    <row r="11" spans="1:23" ht="15.75" customHeight="1" x14ac:dyDescent="0.35">
      <c r="A11" s="39"/>
      <c r="B11" s="99" t="s">
        <v>98</v>
      </c>
      <c r="C11" s="94"/>
      <c r="D11" s="87"/>
      <c r="E11" s="46">
        <f>SUMIF(C19:V19,"true",C16:V16)</f>
        <v>0</v>
      </c>
      <c r="F11" s="40"/>
      <c r="G11" s="40"/>
      <c r="H11" s="40"/>
      <c r="I11" s="40"/>
      <c r="J11" s="40"/>
      <c r="K11" s="40"/>
      <c r="L11" s="40"/>
      <c r="M11" s="40"/>
      <c r="N11" s="40"/>
      <c r="O11" s="39"/>
      <c r="P11" s="39"/>
      <c r="Q11" s="39"/>
      <c r="R11" s="39"/>
      <c r="S11" s="39"/>
      <c r="T11" s="39"/>
      <c r="U11" s="39"/>
      <c r="V11" s="39"/>
      <c r="W11" s="39"/>
    </row>
    <row r="12" spans="1:23" ht="12" customHeight="1" x14ac:dyDescent="0.35">
      <c r="A12" s="39"/>
      <c r="B12" s="50"/>
      <c r="C12" s="50"/>
      <c r="D12" s="50"/>
      <c r="E12" s="50"/>
      <c r="F12" s="40"/>
      <c r="G12" s="40"/>
      <c r="H12" s="40"/>
      <c r="I12" s="40"/>
      <c r="J12" s="40"/>
      <c r="K12" s="40"/>
      <c r="L12" s="40"/>
      <c r="M12" s="40"/>
      <c r="N12" s="40"/>
      <c r="O12" s="39"/>
      <c r="P12" s="39"/>
      <c r="Q12" s="39"/>
      <c r="R12" s="39"/>
      <c r="S12" s="39"/>
      <c r="T12" s="39"/>
      <c r="U12" s="39"/>
      <c r="V12" s="39"/>
      <c r="W12" s="39"/>
    </row>
    <row r="13" spans="1:23" ht="15.5" x14ac:dyDescent="0.35">
      <c r="A13" s="39"/>
      <c r="B13" s="95" t="s">
        <v>99</v>
      </c>
      <c r="C13" s="96"/>
      <c r="D13" s="96"/>
      <c r="E13" s="97"/>
      <c r="F13" s="51"/>
      <c r="G13" s="40"/>
      <c r="H13" s="40"/>
      <c r="I13" s="40"/>
      <c r="J13" s="40"/>
      <c r="K13" s="40"/>
      <c r="L13" s="40"/>
      <c r="M13" s="40"/>
      <c r="N13" s="40"/>
      <c r="O13" s="39"/>
      <c r="P13" s="39"/>
      <c r="Q13" s="39"/>
      <c r="R13" s="39"/>
      <c r="S13" s="39"/>
      <c r="T13" s="39"/>
      <c r="U13" s="39"/>
      <c r="V13" s="39"/>
      <c r="W13" s="39"/>
    </row>
    <row r="14" spans="1:23" ht="15" customHeight="1" x14ac:dyDescent="0.35">
      <c r="A14" s="39"/>
      <c r="B14" s="41"/>
      <c r="C14" s="52" t="s">
        <v>100</v>
      </c>
      <c r="D14" s="52" t="s">
        <v>101</v>
      </c>
      <c r="E14" s="52" t="s">
        <v>102</v>
      </c>
      <c r="F14" s="52" t="s">
        <v>103</v>
      </c>
      <c r="G14" s="52" t="s">
        <v>104</v>
      </c>
      <c r="H14" s="52" t="s">
        <v>105</v>
      </c>
      <c r="I14" s="52" t="s">
        <v>106</v>
      </c>
      <c r="J14" s="52" t="s">
        <v>107</v>
      </c>
      <c r="K14" s="52" t="s">
        <v>108</v>
      </c>
      <c r="L14" s="52" t="s">
        <v>109</v>
      </c>
      <c r="M14" s="52" t="s">
        <v>110</v>
      </c>
      <c r="N14" s="52" t="s">
        <v>111</v>
      </c>
      <c r="O14" s="52" t="s">
        <v>112</v>
      </c>
      <c r="P14" s="52" t="s">
        <v>113</v>
      </c>
      <c r="Q14" s="52" t="s">
        <v>114</v>
      </c>
      <c r="R14" s="52" t="s">
        <v>115</v>
      </c>
      <c r="S14" s="52" t="s">
        <v>116</v>
      </c>
      <c r="T14" s="52" t="s">
        <v>117</v>
      </c>
      <c r="U14" s="52" t="s">
        <v>118</v>
      </c>
      <c r="V14" s="52" t="s">
        <v>119</v>
      </c>
      <c r="W14" s="39"/>
    </row>
    <row r="15" spans="1:23" ht="15" customHeight="1" x14ac:dyDescent="0.35">
      <c r="A15" s="39"/>
      <c r="B15" s="41" t="s">
        <v>120</v>
      </c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39"/>
    </row>
    <row r="16" spans="1:23" ht="15" customHeight="1" x14ac:dyDescent="0.35">
      <c r="A16" s="39"/>
      <c r="B16" s="41" t="s">
        <v>121</v>
      </c>
      <c r="C16" s="53"/>
      <c r="D16" s="54"/>
      <c r="E16" s="54"/>
      <c r="F16" s="54"/>
      <c r="G16" s="54"/>
      <c r="H16" s="54"/>
      <c r="I16" s="54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39"/>
    </row>
    <row r="17" spans="1:23" ht="15" customHeight="1" x14ac:dyDescent="0.35">
      <c r="A17" s="39"/>
      <c r="B17" s="41" t="s">
        <v>122</v>
      </c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39"/>
    </row>
    <row r="18" spans="1:23" ht="15" customHeight="1" x14ac:dyDescent="0.35">
      <c r="A18" s="39"/>
      <c r="B18" s="41" t="s">
        <v>123</v>
      </c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39"/>
    </row>
    <row r="19" spans="1:23" ht="15" customHeight="1" x14ac:dyDescent="0.35">
      <c r="A19" s="39"/>
      <c r="B19" s="55" t="s">
        <v>124</v>
      </c>
      <c r="C19" s="56" t="b">
        <v>0</v>
      </c>
      <c r="D19" s="52" t="b">
        <v>0</v>
      </c>
      <c r="E19" s="52" t="b">
        <v>0</v>
      </c>
      <c r="F19" s="52" t="b">
        <v>0</v>
      </c>
      <c r="G19" s="52" t="b">
        <v>0</v>
      </c>
      <c r="H19" s="52" t="b">
        <v>0</v>
      </c>
      <c r="I19" s="52" t="b">
        <v>0</v>
      </c>
      <c r="J19" s="52" t="b">
        <v>0</v>
      </c>
      <c r="K19" s="52" t="b">
        <v>0</v>
      </c>
      <c r="L19" s="52" t="b">
        <v>0</v>
      </c>
      <c r="M19" s="52" t="b">
        <v>0</v>
      </c>
      <c r="N19" s="52" t="b">
        <v>0</v>
      </c>
      <c r="O19" s="52" t="b">
        <v>0</v>
      </c>
      <c r="P19" s="52" t="b">
        <v>0</v>
      </c>
      <c r="Q19" s="52" t="b">
        <v>0</v>
      </c>
      <c r="R19" s="52" t="b">
        <v>0</v>
      </c>
      <c r="S19" s="52" t="b">
        <v>0</v>
      </c>
      <c r="T19" s="52" t="b">
        <v>0</v>
      </c>
      <c r="U19" s="52" t="b">
        <v>0</v>
      </c>
      <c r="V19" s="52" t="b">
        <v>0</v>
      </c>
      <c r="W19" s="39"/>
    </row>
    <row r="20" spans="1:23" ht="15" customHeight="1" x14ac:dyDescent="0.35">
      <c r="A20" s="39"/>
      <c r="B20" s="57" t="s">
        <v>86</v>
      </c>
      <c r="C20" s="58">
        <f>MAX(C16:V16)</f>
        <v>0</v>
      </c>
      <c r="D20" s="59"/>
      <c r="E20" s="60"/>
      <c r="F20" s="61"/>
      <c r="G20" s="61"/>
      <c r="H20" s="61"/>
      <c r="I20" s="61"/>
      <c r="J20" s="61"/>
      <c r="K20" s="61"/>
      <c r="L20" s="61"/>
      <c r="M20" s="61"/>
      <c r="N20" s="61"/>
      <c r="O20" s="39"/>
      <c r="P20" s="39"/>
      <c r="Q20" s="39"/>
      <c r="R20" s="39"/>
      <c r="S20" s="39"/>
      <c r="T20" s="39"/>
      <c r="U20" s="39"/>
      <c r="V20" s="39"/>
      <c r="W20" s="39"/>
    </row>
    <row r="21" spans="1:23" ht="15" customHeight="1" x14ac:dyDescent="0.35">
      <c r="A21" s="39"/>
      <c r="B21" s="62" t="s">
        <v>89</v>
      </c>
      <c r="C21" s="63" t="str">
        <f>IFERROR(AVERAGE(C16:V16),"0")</f>
        <v>0</v>
      </c>
      <c r="D21" s="60"/>
      <c r="E21" s="60"/>
      <c r="F21" s="61"/>
      <c r="G21" s="61"/>
      <c r="H21" s="61"/>
      <c r="I21" s="61"/>
      <c r="J21" s="61"/>
      <c r="K21" s="61"/>
      <c r="L21" s="61"/>
      <c r="M21" s="61"/>
      <c r="N21" s="61"/>
      <c r="O21" s="39"/>
      <c r="P21" s="39"/>
      <c r="Q21" s="39"/>
      <c r="R21" s="39"/>
      <c r="S21" s="39"/>
      <c r="T21" s="39"/>
      <c r="U21" s="39"/>
      <c r="V21" s="39"/>
      <c r="W21" s="39"/>
    </row>
    <row r="22" spans="1:23" ht="15" customHeight="1" x14ac:dyDescent="0.35">
      <c r="A22" s="39"/>
      <c r="B22" s="64" t="s">
        <v>125</v>
      </c>
      <c r="C22" s="65">
        <f>SUM(C16:V16)</f>
        <v>0</v>
      </c>
      <c r="D22" s="60"/>
      <c r="E22" s="60"/>
      <c r="F22" s="61"/>
      <c r="G22" s="61"/>
      <c r="H22" s="61"/>
      <c r="I22" s="61"/>
      <c r="J22" s="61"/>
      <c r="K22" s="61"/>
      <c r="L22" s="61"/>
      <c r="M22" s="61"/>
      <c r="N22" s="61"/>
      <c r="O22" s="39"/>
      <c r="P22" s="39"/>
      <c r="Q22" s="39"/>
      <c r="R22" s="39"/>
      <c r="S22" s="39"/>
      <c r="T22" s="39"/>
      <c r="U22" s="39"/>
      <c r="V22" s="39"/>
      <c r="W22" s="39"/>
    </row>
    <row r="23" spans="1:23" ht="15" customHeight="1" x14ac:dyDescent="0.35">
      <c r="A23" s="39"/>
      <c r="B23" s="61"/>
      <c r="C23" s="39"/>
      <c r="D23" s="39"/>
      <c r="E23" s="39"/>
      <c r="F23" s="66"/>
      <c r="G23" s="66"/>
      <c r="H23" s="66"/>
      <c r="I23" s="40"/>
      <c r="J23" s="40"/>
      <c r="K23" s="40"/>
      <c r="L23" s="40"/>
      <c r="M23" s="40"/>
      <c r="N23" s="40"/>
      <c r="O23" s="39"/>
      <c r="P23" s="39"/>
      <c r="Q23" s="39"/>
      <c r="R23" s="39"/>
      <c r="S23" s="39"/>
      <c r="T23" s="39"/>
      <c r="U23" s="39"/>
      <c r="V23" s="39"/>
      <c r="W23" s="39"/>
    </row>
    <row r="24" spans="1:23" ht="15" customHeight="1" x14ac:dyDescent="0.35">
      <c r="A24" s="39"/>
      <c r="B24" s="99" t="s">
        <v>156</v>
      </c>
      <c r="C24" s="94"/>
      <c r="D24" s="87"/>
      <c r="E24" s="46">
        <f>SUM(E10:E11)</f>
        <v>0</v>
      </c>
      <c r="F24" s="61"/>
      <c r="G24" s="61"/>
      <c r="H24" s="61"/>
      <c r="I24" s="40"/>
      <c r="J24" s="40"/>
      <c r="K24" s="40"/>
      <c r="L24" s="40"/>
      <c r="M24" s="40"/>
      <c r="N24" s="40"/>
      <c r="O24" s="39"/>
      <c r="P24" s="39"/>
      <c r="Q24" s="39"/>
      <c r="R24" s="39"/>
      <c r="S24" s="39"/>
      <c r="T24" s="39"/>
      <c r="U24" s="39"/>
      <c r="V24" s="39"/>
      <c r="W24" s="39"/>
    </row>
    <row r="25" spans="1:23" ht="15" customHeight="1" x14ac:dyDescent="0.35">
      <c r="A25" s="39"/>
      <c r="B25" s="61"/>
      <c r="C25" s="61"/>
      <c r="D25" s="61"/>
      <c r="E25" s="61"/>
      <c r="F25" s="61"/>
      <c r="G25" s="61"/>
      <c r="H25" s="61"/>
      <c r="I25" s="40"/>
      <c r="J25" s="40"/>
      <c r="K25" s="40"/>
      <c r="L25" s="40"/>
      <c r="M25" s="40"/>
      <c r="N25" s="40"/>
      <c r="O25" s="39"/>
      <c r="P25" s="39"/>
      <c r="Q25" s="39"/>
      <c r="R25" s="39"/>
      <c r="S25" s="39"/>
      <c r="T25" s="39"/>
      <c r="U25" s="39"/>
      <c r="V25" s="39"/>
      <c r="W25" s="39"/>
    </row>
    <row r="26" spans="1:23" ht="15" customHeight="1" x14ac:dyDescent="0.35">
      <c r="A26" s="39"/>
      <c r="B26" s="61"/>
      <c r="C26" s="61"/>
      <c r="D26" s="61"/>
      <c r="E26" s="61"/>
      <c r="F26" s="61"/>
      <c r="G26" s="61"/>
      <c r="H26" s="61"/>
      <c r="I26" s="40"/>
      <c r="J26" s="40"/>
      <c r="K26" s="40"/>
      <c r="L26" s="40"/>
      <c r="M26" s="40"/>
      <c r="N26" s="40"/>
      <c r="O26" s="39"/>
      <c r="P26" s="39"/>
      <c r="Q26" s="39"/>
      <c r="R26" s="39"/>
      <c r="S26" s="39"/>
      <c r="T26" s="39"/>
      <c r="U26" s="39"/>
      <c r="V26" s="39"/>
      <c r="W26" s="39"/>
    </row>
    <row r="27" spans="1:23" ht="15" customHeight="1" x14ac:dyDescent="0.35">
      <c r="A27" s="39"/>
      <c r="B27" s="95" t="s">
        <v>127</v>
      </c>
      <c r="C27" s="96"/>
      <c r="D27" s="96"/>
      <c r="E27" s="97"/>
      <c r="F27" s="40"/>
      <c r="G27" s="40"/>
      <c r="H27" s="40"/>
      <c r="I27" s="40"/>
      <c r="J27" s="40"/>
      <c r="K27" s="40"/>
      <c r="L27" s="40"/>
      <c r="M27" s="40"/>
      <c r="N27" s="40"/>
      <c r="O27" s="39"/>
      <c r="P27" s="39"/>
      <c r="Q27" s="39"/>
      <c r="R27" s="39"/>
      <c r="S27" s="39"/>
      <c r="T27" s="39"/>
      <c r="U27" s="39"/>
      <c r="V27" s="39"/>
      <c r="W27" s="39"/>
    </row>
    <row r="28" spans="1:23" ht="15" customHeight="1" x14ac:dyDescent="0.35">
      <c r="A28" s="39"/>
      <c r="B28" s="45"/>
      <c r="C28" s="67" t="s">
        <v>128</v>
      </c>
      <c r="D28" s="67" t="s">
        <v>129</v>
      </c>
      <c r="E28" s="67" t="s">
        <v>130</v>
      </c>
      <c r="F28" s="52" t="s">
        <v>131</v>
      </c>
      <c r="G28" s="52" t="s">
        <v>132</v>
      </c>
      <c r="H28" s="52" t="s">
        <v>133</v>
      </c>
      <c r="I28" s="52" t="s">
        <v>134</v>
      </c>
      <c r="J28" s="52" t="s">
        <v>135</v>
      </c>
      <c r="K28" s="52" t="s">
        <v>136</v>
      </c>
      <c r="L28" s="52" t="s">
        <v>137</v>
      </c>
      <c r="M28" s="52" t="s">
        <v>138</v>
      </c>
      <c r="N28" s="52" t="s">
        <v>139</v>
      </c>
      <c r="O28" s="52" t="s">
        <v>140</v>
      </c>
      <c r="P28" s="52" t="s">
        <v>141</v>
      </c>
      <c r="Q28" s="52" t="s">
        <v>142</v>
      </c>
      <c r="R28" s="52" t="s">
        <v>143</v>
      </c>
      <c r="S28" s="52" t="s">
        <v>144</v>
      </c>
      <c r="T28" s="52" t="s">
        <v>145</v>
      </c>
      <c r="U28" s="52" t="s">
        <v>146</v>
      </c>
      <c r="V28" s="52" t="s">
        <v>147</v>
      </c>
      <c r="W28" s="39"/>
    </row>
    <row r="29" spans="1:23" ht="15" customHeight="1" x14ac:dyDescent="0.35">
      <c r="A29" s="39"/>
      <c r="B29" s="41" t="s">
        <v>120</v>
      </c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39"/>
    </row>
    <row r="30" spans="1:23" ht="15" customHeight="1" x14ac:dyDescent="0.35">
      <c r="A30" s="39"/>
      <c r="B30" s="41" t="s">
        <v>148</v>
      </c>
      <c r="C30" s="69"/>
      <c r="D30" s="69"/>
      <c r="E30" s="54"/>
      <c r="F30" s="54"/>
      <c r="G30" s="54"/>
      <c r="H30" s="54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39"/>
    </row>
    <row r="31" spans="1:23" ht="15" customHeight="1" x14ac:dyDescent="0.35">
      <c r="A31" s="39"/>
      <c r="B31" s="55" t="s">
        <v>149</v>
      </c>
      <c r="C31" s="74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39"/>
    </row>
    <row r="32" spans="1:23" ht="15" customHeight="1" x14ac:dyDescent="0.35">
      <c r="A32" s="39"/>
      <c r="B32" s="71" t="s">
        <v>150</v>
      </c>
      <c r="C32" s="72">
        <f>SUM(C30:V30)</f>
        <v>0</v>
      </c>
      <c r="D32" s="60"/>
      <c r="E32" s="60"/>
      <c r="F32" s="61"/>
      <c r="G32" s="61"/>
      <c r="H32" s="61"/>
      <c r="I32" s="61"/>
      <c r="J32" s="61"/>
      <c r="K32" s="61"/>
      <c r="L32" s="61"/>
      <c r="M32" s="61"/>
      <c r="N32" s="61"/>
      <c r="O32" s="39"/>
      <c r="P32" s="39"/>
      <c r="Q32" s="39"/>
      <c r="R32" s="39"/>
      <c r="S32" s="39"/>
      <c r="T32" s="39"/>
      <c r="U32" s="39"/>
      <c r="V32" s="39"/>
      <c r="W32" s="39"/>
    </row>
    <row r="33" spans="1:23" ht="12" customHeight="1" x14ac:dyDescent="0.35">
      <c r="A33" s="39"/>
      <c r="B33" s="50"/>
      <c r="C33" s="50"/>
      <c r="D33" s="50"/>
      <c r="E33" s="50"/>
      <c r="F33" s="50"/>
      <c r="G33" s="50"/>
      <c r="H33" s="40"/>
      <c r="I33" s="40"/>
      <c r="J33" s="40"/>
      <c r="K33" s="40"/>
      <c r="L33" s="40"/>
      <c r="M33" s="40"/>
      <c r="N33" s="40"/>
      <c r="O33" s="39"/>
      <c r="P33" s="39"/>
      <c r="Q33" s="39"/>
      <c r="R33" s="39"/>
      <c r="S33" s="39"/>
      <c r="T33" s="39"/>
      <c r="U33" s="39"/>
      <c r="V33" s="39"/>
      <c r="W33" s="39"/>
    </row>
    <row r="34" spans="1:23" ht="12" customHeight="1" x14ac:dyDescent="0.35">
      <c r="A34" s="39"/>
      <c r="B34" s="73" t="s">
        <v>151</v>
      </c>
      <c r="C34" s="73"/>
      <c r="D34" s="73"/>
      <c r="E34" s="73"/>
      <c r="F34" s="73"/>
      <c r="G34" s="73"/>
      <c r="H34" s="40"/>
      <c r="I34" s="40"/>
      <c r="J34" s="40"/>
      <c r="K34" s="40"/>
      <c r="L34" s="40"/>
      <c r="M34" s="40"/>
      <c r="N34" s="40"/>
      <c r="O34" s="39"/>
      <c r="P34" s="39"/>
      <c r="Q34" s="39"/>
      <c r="R34" s="39"/>
      <c r="S34" s="39"/>
      <c r="T34" s="39"/>
      <c r="U34" s="39"/>
      <c r="V34" s="39"/>
      <c r="W34" s="39"/>
    </row>
    <row r="35" spans="1:23" ht="193.5" customHeight="1" x14ac:dyDescent="0.35">
      <c r="A35" s="39"/>
      <c r="B35" s="100"/>
      <c r="C35" s="101"/>
      <c r="D35" s="101"/>
      <c r="E35" s="101"/>
      <c r="F35" s="101"/>
      <c r="G35" s="101"/>
      <c r="H35" s="40"/>
      <c r="I35" s="40"/>
      <c r="J35" s="40"/>
      <c r="K35" s="40"/>
      <c r="L35" s="40"/>
      <c r="M35" s="40"/>
      <c r="N35" s="40"/>
      <c r="O35" s="39"/>
      <c r="P35" s="39"/>
      <c r="Q35" s="39"/>
      <c r="R35" s="39"/>
      <c r="S35" s="39"/>
      <c r="T35" s="39"/>
      <c r="U35" s="39"/>
      <c r="V35" s="39"/>
      <c r="W35" s="39"/>
    </row>
    <row r="36" spans="1:23" ht="12" customHeight="1" x14ac:dyDescent="0.35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</row>
  </sheetData>
  <mergeCells count="23">
    <mergeCell ref="B11:D11"/>
    <mergeCell ref="B13:E13"/>
    <mergeCell ref="B24:D24"/>
    <mergeCell ref="B27:E27"/>
    <mergeCell ref="B35:G35"/>
    <mergeCell ref="G5:I5"/>
    <mergeCell ref="G8:I8"/>
    <mergeCell ref="G9:J9"/>
    <mergeCell ref="B10:D10"/>
    <mergeCell ref="G10:I10"/>
    <mergeCell ref="B5:D5"/>
    <mergeCell ref="B6:D6"/>
    <mergeCell ref="G6:I6"/>
    <mergeCell ref="B7:D7"/>
    <mergeCell ref="G7:I7"/>
    <mergeCell ref="B8:D8"/>
    <mergeCell ref="B9:D9"/>
    <mergeCell ref="B1:J1"/>
    <mergeCell ref="B3:E3"/>
    <mergeCell ref="G3:J3"/>
    <mergeCell ref="L3:M3"/>
    <mergeCell ref="B4:D4"/>
    <mergeCell ref="G4:J4"/>
  </mergeCells>
  <pageMargins left="0.7" right="0.7" top="0.75" bottom="0.75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 xr:uid="{00000000-0002-0000-0700-000000000000}">
          <x14:formula1>
            <xm:f>Dropdowns!$A$1:$A$3</xm:f>
          </x14:formula1>
          <xm:sqref>E4 J5:J6 E7</xm:sqref>
        </x14:dataValidation>
        <x14:dataValidation type="list" allowBlank="1" showErrorMessage="1" xr:uid="{00000000-0002-0000-0700-000001000000}">
          <x14:formula1>
            <xm:f>Dropdowns!$B$1:$B$9</xm:f>
          </x14:formula1>
          <xm:sqref>E5</xm:sqref>
        </x14:dataValidation>
        <x14:dataValidation type="list" allowBlank="1" showErrorMessage="1" xr:uid="{00000000-0002-0000-0700-000002000000}">
          <x14:formula1>
            <xm:f>Dropdowns!$E$12:$E$21</xm:f>
          </x14:formula1>
          <xm:sqref>C18:V18</xm:sqref>
        </x14:dataValidation>
        <x14:dataValidation type="list" allowBlank="1" showErrorMessage="1" xr:uid="{00000000-0002-0000-0700-000003000000}">
          <x14:formula1>
            <xm:f>Dropdowns!$N$2:$N$22</xm:f>
          </x14:formula1>
          <xm:sqref>J8</xm:sqref>
        </x14:dataValidation>
        <x14:dataValidation type="list" allowBlank="1" showErrorMessage="1" xr:uid="{00000000-0002-0000-0700-000004000000}">
          <x14:formula1>
            <xm:f>Dropdowns!$N$2:$N$17</xm:f>
          </x14:formula1>
          <xm:sqref>E6 J7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DEEAF6"/>
  </sheetPr>
  <dimension ref="A1:W36"/>
  <sheetViews>
    <sheetView workbookViewId="0"/>
  </sheetViews>
  <sheetFormatPr defaultColWidth="11.25" defaultRowHeight="15" customHeight="1" x14ac:dyDescent="0.35"/>
  <cols>
    <col min="1" max="1" width="2" customWidth="1"/>
    <col min="2" max="2" width="11.08203125" customWidth="1"/>
    <col min="3" max="23" width="7.75" customWidth="1"/>
  </cols>
  <sheetData>
    <row r="1" spans="1:23" ht="18.5" x14ac:dyDescent="0.35">
      <c r="A1" s="39"/>
      <c r="B1" s="93" t="s">
        <v>78</v>
      </c>
      <c r="C1" s="94"/>
      <c r="D1" s="94"/>
      <c r="E1" s="94"/>
      <c r="F1" s="94"/>
      <c r="G1" s="94"/>
      <c r="H1" s="94"/>
      <c r="I1" s="94"/>
      <c r="J1" s="87"/>
      <c r="K1" s="40"/>
      <c r="L1" s="40"/>
      <c r="M1" s="40"/>
      <c r="N1" s="40"/>
      <c r="O1" s="39"/>
      <c r="P1" s="39"/>
      <c r="Q1" s="39"/>
      <c r="R1" s="39"/>
      <c r="S1" s="39"/>
      <c r="T1" s="39"/>
      <c r="U1" s="39"/>
      <c r="V1" s="39"/>
      <c r="W1" s="39"/>
    </row>
    <row r="2" spans="1:23" ht="12" customHeight="1" x14ac:dyDescent="0.35">
      <c r="A2" s="39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39"/>
      <c r="P2" s="39"/>
      <c r="Q2" s="39"/>
      <c r="R2" s="39"/>
      <c r="S2" s="39"/>
      <c r="T2" s="39"/>
      <c r="U2" s="39"/>
      <c r="V2" s="39"/>
      <c r="W2" s="39"/>
    </row>
    <row r="3" spans="1:23" ht="15.5" x14ac:dyDescent="0.35">
      <c r="A3" s="39"/>
      <c r="B3" s="95" t="s">
        <v>79</v>
      </c>
      <c r="C3" s="96"/>
      <c r="D3" s="96"/>
      <c r="E3" s="97"/>
      <c r="F3" s="40"/>
      <c r="G3" s="95" t="s">
        <v>80</v>
      </c>
      <c r="H3" s="96"/>
      <c r="I3" s="96"/>
      <c r="J3" s="97"/>
      <c r="K3" s="40"/>
      <c r="L3" s="98" t="s">
        <v>81</v>
      </c>
      <c r="M3" s="87"/>
      <c r="N3" s="40"/>
      <c r="O3" s="39"/>
      <c r="P3" s="39"/>
      <c r="Q3" s="39"/>
      <c r="R3" s="39"/>
      <c r="S3" s="39"/>
      <c r="T3" s="39"/>
      <c r="U3" s="39"/>
      <c r="V3" s="39"/>
      <c r="W3" s="39"/>
    </row>
    <row r="4" spans="1:23" ht="15" customHeight="1" x14ac:dyDescent="0.35">
      <c r="A4" s="39"/>
      <c r="B4" s="99" t="s">
        <v>82</v>
      </c>
      <c r="C4" s="94"/>
      <c r="D4" s="87"/>
      <c r="E4" s="41"/>
      <c r="F4" s="40"/>
      <c r="G4" s="99"/>
      <c r="H4" s="94"/>
      <c r="I4" s="94"/>
      <c r="J4" s="87"/>
      <c r="K4" s="40"/>
      <c r="L4" s="42" t="s">
        <v>83</v>
      </c>
      <c r="M4" s="43"/>
      <c r="N4" s="40"/>
      <c r="O4" s="39"/>
      <c r="P4" s="39"/>
      <c r="Q4" s="39"/>
      <c r="R4" s="39"/>
      <c r="S4" s="39"/>
      <c r="T4" s="39"/>
      <c r="U4" s="39"/>
      <c r="V4" s="39"/>
      <c r="W4" s="39"/>
    </row>
    <row r="5" spans="1:23" ht="15" customHeight="1" x14ac:dyDescent="0.35">
      <c r="A5" s="39"/>
      <c r="B5" s="99" t="s">
        <v>84</v>
      </c>
      <c r="C5" s="94"/>
      <c r="D5" s="87"/>
      <c r="E5" s="41"/>
      <c r="F5" s="40"/>
      <c r="G5" s="99" t="s">
        <v>85</v>
      </c>
      <c r="H5" s="94"/>
      <c r="I5" s="87"/>
      <c r="J5" s="41" t="str">
        <f>IF(SUM(C30:V30)&gt;1500,"Ja","Nee")</f>
        <v>Nee</v>
      </c>
      <c r="K5" s="40"/>
      <c r="L5" s="42" t="s">
        <v>86</v>
      </c>
      <c r="M5" s="43"/>
      <c r="N5" s="40"/>
      <c r="O5" s="39"/>
      <c r="P5" s="39"/>
      <c r="Q5" s="39"/>
      <c r="R5" s="39"/>
      <c r="S5" s="39"/>
      <c r="T5" s="39"/>
      <c r="U5" s="39"/>
      <c r="V5" s="39"/>
      <c r="W5" s="39"/>
    </row>
    <row r="6" spans="1:23" ht="15" customHeight="1" x14ac:dyDescent="0.35">
      <c r="A6" s="39"/>
      <c r="B6" s="99" t="s">
        <v>87</v>
      </c>
      <c r="C6" s="94"/>
      <c r="D6" s="87"/>
      <c r="E6" s="42">
        <v>0</v>
      </c>
      <c r="F6" s="40"/>
      <c r="G6" s="99" t="s">
        <v>88</v>
      </c>
      <c r="H6" s="94"/>
      <c r="I6" s="87"/>
      <c r="J6" s="41"/>
      <c r="K6" s="40"/>
      <c r="L6" s="42" t="s">
        <v>89</v>
      </c>
      <c r="M6" s="44"/>
      <c r="N6" s="40"/>
      <c r="O6" s="39"/>
      <c r="P6" s="39"/>
      <c r="Q6" s="39"/>
      <c r="R6" s="39"/>
      <c r="S6" s="39"/>
      <c r="T6" s="39"/>
      <c r="U6" s="39"/>
      <c r="V6" s="39"/>
      <c r="W6" s="39"/>
    </row>
    <row r="7" spans="1:23" ht="15" customHeight="1" x14ac:dyDescent="0.35">
      <c r="A7" s="39"/>
      <c r="B7" s="99" t="s">
        <v>90</v>
      </c>
      <c r="C7" s="94"/>
      <c r="D7" s="87"/>
      <c r="E7" s="45"/>
      <c r="F7" s="40"/>
      <c r="G7" s="99" t="s">
        <v>91</v>
      </c>
      <c r="H7" s="94"/>
      <c r="I7" s="87"/>
      <c r="J7" s="42"/>
      <c r="K7" s="40"/>
      <c r="L7" s="40"/>
      <c r="M7" s="40"/>
      <c r="N7" s="40"/>
      <c r="O7" s="39"/>
      <c r="P7" s="39"/>
      <c r="Q7" s="39"/>
      <c r="R7" s="39"/>
      <c r="S7" s="39"/>
      <c r="T7" s="39"/>
      <c r="U7" s="39"/>
      <c r="V7" s="39"/>
      <c r="W7" s="39"/>
    </row>
    <row r="8" spans="1:23" ht="15" customHeight="1" x14ac:dyDescent="0.35">
      <c r="A8" s="39"/>
      <c r="B8" s="99" t="s">
        <v>92</v>
      </c>
      <c r="C8" s="94"/>
      <c r="D8" s="87"/>
      <c r="E8" s="46"/>
      <c r="F8" s="40"/>
      <c r="G8" s="99" t="s">
        <v>93</v>
      </c>
      <c r="H8" s="94"/>
      <c r="I8" s="87"/>
      <c r="J8" s="42"/>
      <c r="K8" s="40"/>
      <c r="L8" s="42" t="s">
        <v>94</v>
      </c>
      <c r="M8" s="47">
        <f ca="1">'Algemene info'!B6</f>
        <v>126</v>
      </c>
      <c r="N8" s="40"/>
      <c r="O8" s="39"/>
      <c r="P8" s="39"/>
      <c r="Q8" s="39"/>
      <c r="R8" s="39"/>
      <c r="S8" s="39"/>
      <c r="T8" s="39"/>
      <c r="U8" s="39"/>
      <c r="V8" s="39"/>
      <c r="W8" s="39"/>
    </row>
    <row r="9" spans="1:23" ht="15" customHeight="1" x14ac:dyDescent="0.35">
      <c r="A9" s="39"/>
      <c r="B9" s="99" t="s">
        <v>95</v>
      </c>
      <c r="C9" s="94"/>
      <c r="D9" s="87"/>
      <c r="E9" s="48"/>
      <c r="F9" s="40"/>
      <c r="G9" s="99"/>
      <c r="H9" s="94"/>
      <c r="I9" s="94"/>
      <c r="J9" s="87"/>
      <c r="K9" s="40"/>
      <c r="L9" s="40"/>
      <c r="M9" s="40"/>
      <c r="N9" s="40"/>
      <c r="O9" s="39"/>
      <c r="P9" s="39"/>
      <c r="Q9" s="39"/>
      <c r="R9" s="39"/>
      <c r="S9" s="39"/>
      <c r="T9" s="39"/>
      <c r="U9" s="39"/>
      <c r="V9" s="39"/>
      <c r="W9" s="39"/>
    </row>
    <row r="10" spans="1:23" ht="15" customHeight="1" x14ac:dyDescent="0.35">
      <c r="A10" s="39"/>
      <c r="B10" s="99" t="s">
        <v>96</v>
      </c>
      <c r="C10" s="94"/>
      <c r="D10" s="87"/>
      <c r="E10" s="46">
        <f>E9-E8</f>
        <v>0</v>
      </c>
      <c r="F10" s="40"/>
      <c r="G10" s="99" t="s">
        <v>97</v>
      </c>
      <c r="H10" s="94"/>
      <c r="I10" s="87"/>
      <c r="J10" s="49">
        <f ca="1">30+(M8*30)</f>
        <v>3810</v>
      </c>
      <c r="K10" s="40"/>
      <c r="L10" s="40"/>
      <c r="M10" s="40"/>
      <c r="N10" s="40"/>
      <c r="O10" s="39"/>
      <c r="P10" s="39"/>
      <c r="Q10" s="39"/>
      <c r="R10" s="39"/>
      <c r="S10" s="39"/>
      <c r="T10" s="39"/>
      <c r="U10" s="39"/>
      <c r="V10" s="39"/>
      <c r="W10" s="39"/>
    </row>
    <row r="11" spans="1:23" ht="15.75" customHeight="1" x14ac:dyDescent="0.35">
      <c r="A11" s="39"/>
      <c r="B11" s="99" t="s">
        <v>98</v>
      </c>
      <c r="C11" s="94"/>
      <c r="D11" s="87"/>
      <c r="E11" s="46">
        <f>SUMIF(C19:V19,"true",C16:V16)</f>
        <v>0</v>
      </c>
      <c r="F11" s="40"/>
      <c r="G11" s="40"/>
      <c r="H11" s="40"/>
      <c r="I11" s="40"/>
      <c r="J11" s="40"/>
      <c r="K11" s="40"/>
      <c r="L11" s="40"/>
      <c r="M11" s="40"/>
      <c r="N11" s="40"/>
      <c r="O11" s="39"/>
      <c r="P11" s="39"/>
      <c r="Q11" s="39"/>
      <c r="R11" s="39"/>
      <c r="S11" s="39"/>
      <c r="T11" s="39"/>
      <c r="U11" s="39"/>
      <c r="V11" s="39"/>
      <c r="W11" s="39"/>
    </row>
    <row r="12" spans="1:23" ht="12" customHeight="1" x14ac:dyDescent="0.35">
      <c r="A12" s="39"/>
      <c r="B12" s="50"/>
      <c r="C12" s="50"/>
      <c r="D12" s="50"/>
      <c r="E12" s="50"/>
      <c r="F12" s="40"/>
      <c r="G12" s="40"/>
      <c r="H12" s="40"/>
      <c r="I12" s="40"/>
      <c r="J12" s="40"/>
      <c r="K12" s="40"/>
      <c r="L12" s="40"/>
      <c r="M12" s="40"/>
      <c r="N12" s="40"/>
      <c r="O12" s="39"/>
      <c r="P12" s="39"/>
      <c r="Q12" s="39"/>
      <c r="R12" s="39"/>
      <c r="S12" s="39"/>
      <c r="T12" s="39"/>
      <c r="U12" s="39"/>
      <c r="V12" s="39"/>
      <c r="W12" s="39"/>
    </row>
    <row r="13" spans="1:23" ht="15.5" x14ac:dyDescent="0.35">
      <c r="A13" s="39"/>
      <c r="B13" s="95" t="s">
        <v>99</v>
      </c>
      <c r="C13" s="96"/>
      <c r="D13" s="96"/>
      <c r="E13" s="97"/>
      <c r="F13" s="51"/>
      <c r="G13" s="40"/>
      <c r="H13" s="40"/>
      <c r="I13" s="40"/>
      <c r="J13" s="40"/>
      <c r="K13" s="40"/>
      <c r="L13" s="40"/>
      <c r="M13" s="40"/>
      <c r="N13" s="40"/>
      <c r="O13" s="39"/>
      <c r="P13" s="39"/>
      <c r="Q13" s="39"/>
      <c r="R13" s="39"/>
      <c r="S13" s="39"/>
      <c r="T13" s="39"/>
      <c r="U13" s="39"/>
      <c r="V13" s="39"/>
      <c r="W13" s="39"/>
    </row>
    <row r="14" spans="1:23" ht="15" customHeight="1" x14ac:dyDescent="0.35">
      <c r="A14" s="39"/>
      <c r="B14" s="41"/>
      <c r="C14" s="52" t="s">
        <v>100</v>
      </c>
      <c r="D14" s="52" t="s">
        <v>101</v>
      </c>
      <c r="E14" s="52" t="s">
        <v>102</v>
      </c>
      <c r="F14" s="52" t="s">
        <v>103</v>
      </c>
      <c r="G14" s="52" t="s">
        <v>104</v>
      </c>
      <c r="H14" s="52" t="s">
        <v>105</v>
      </c>
      <c r="I14" s="52" t="s">
        <v>106</v>
      </c>
      <c r="J14" s="52" t="s">
        <v>107</v>
      </c>
      <c r="K14" s="52" t="s">
        <v>108</v>
      </c>
      <c r="L14" s="52" t="s">
        <v>109</v>
      </c>
      <c r="M14" s="52" t="s">
        <v>110</v>
      </c>
      <c r="N14" s="52" t="s">
        <v>111</v>
      </c>
      <c r="O14" s="52" t="s">
        <v>112</v>
      </c>
      <c r="P14" s="52" t="s">
        <v>113</v>
      </c>
      <c r="Q14" s="52" t="s">
        <v>114</v>
      </c>
      <c r="R14" s="52" t="s">
        <v>115</v>
      </c>
      <c r="S14" s="52" t="s">
        <v>116</v>
      </c>
      <c r="T14" s="52" t="s">
        <v>117</v>
      </c>
      <c r="U14" s="52" t="s">
        <v>118</v>
      </c>
      <c r="V14" s="52" t="s">
        <v>119</v>
      </c>
      <c r="W14" s="39"/>
    </row>
    <row r="15" spans="1:23" ht="15" customHeight="1" x14ac:dyDescent="0.35">
      <c r="A15" s="39"/>
      <c r="B15" s="41" t="s">
        <v>120</v>
      </c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39"/>
    </row>
    <row r="16" spans="1:23" ht="15" customHeight="1" x14ac:dyDescent="0.35">
      <c r="A16" s="39"/>
      <c r="B16" s="41" t="s">
        <v>121</v>
      </c>
      <c r="C16" s="53"/>
      <c r="D16" s="54"/>
      <c r="E16" s="54"/>
      <c r="F16" s="54"/>
      <c r="G16" s="54"/>
      <c r="H16" s="54"/>
      <c r="I16" s="54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39"/>
    </row>
    <row r="17" spans="1:23" ht="15" customHeight="1" x14ac:dyDescent="0.35">
      <c r="A17" s="39"/>
      <c r="B17" s="41" t="s">
        <v>122</v>
      </c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39"/>
    </row>
    <row r="18" spans="1:23" ht="15" customHeight="1" x14ac:dyDescent="0.35">
      <c r="A18" s="39"/>
      <c r="B18" s="41" t="s">
        <v>123</v>
      </c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39"/>
    </row>
    <row r="19" spans="1:23" ht="15" customHeight="1" x14ac:dyDescent="0.35">
      <c r="A19" s="39"/>
      <c r="B19" s="55" t="s">
        <v>124</v>
      </c>
      <c r="C19" s="56" t="b">
        <v>0</v>
      </c>
      <c r="D19" s="52" t="b">
        <v>0</v>
      </c>
      <c r="E19" s="52" t="b">
        <v>0</v>
      </c>
      <c r="F19" s="52" t="b">
        <v>0</v>
      </c>
      <c r="G19" s="52" t="b">
        <v>0</v>
      </c>
      <c r="H19" s="52" t="b">
        <v>0</v>
      </c>
      <c r="I19" s="52" t="b">
        <v>0</v>
      </c>
      <c r="J19" s="52" t="b">
        <v>0</v>
      </c>
      <c r="K19" s="52" t="b">
        <v>0</v>
      </c>
      <c r="L19" s="52" t="b">
        <v>0</v>
      </c>
      <c r="M19" s="52" t="b">
        <v>0</v>
      </c>
      <c r="N19" s="52" t="b">
        <v>0</v>
      </c>
      <c r="O19" s="52" t="b">
        <v>0</v>
      </c>
      <c r="P19" s="52" t="b">
        <v>0</v>
      </c>
      <c r="Q19" s="52" t="b">
        <v>0</v>
      </c>
      <c r="R19" s="52" t="b">
        <v>0</v>
      </c>
      <c r="S19" s="52" t="b">
        <v>0</v>
      </c>
      <c r="T19" s="52" t="b">
        <v>0</v>
      </c>
      <c r="U19" s="52" t="b">
        <v>0</v>
      </c>
      <c r="V19" s="52" t="b">
        <v>0</v>
      </c>
      <c r="W19" s="39"/>
    </row>
    <row r="20" spans="1:23" ht="15" customHeight="1" x14ac:dyDescent="0.35">
      <c r="A20" s="39"/>
      <c r="B20" s="57" t="s">
        <v>86</v>
      </c>
      <c r="C20" s="58">
        <f>MAX(C16:V16)</f>
        <v>0</v>
      </c>
      <c r="D20" s="59"/>
      <c r="E20" s="60"/>
      <c r="F20" s="61"/>
      <c r="G20" s="61"/>
      <c r="H20" s="61"/>
      <c r="I20" s="61"/>
      <c r="J20" s="61"/>
      <c r="K20" s="61"/>
      <c r="L20" s="61"/>
      <c r="M20" s="61"/>
      <c r="N20" s="61"/>
      <c r="O20" s="39"/>
      <c r="P20" s="39"/>
      <c r="Q20" s="39"/>
      <c r="R20" s="39"/>
      <c r="S20" s="39"/>
      <c r="T20" s="39"/>
      <c r="U20" s="39"/>
      <c r="V20" s="39"/>
      <c r="W20" s="39"/>
    </row>
    <row r="21" spans="1:23" ht="15" customHeight="1" x14ac:dyDescent="0.35">
      <c r="A21" s="39"/>
      <c r="B21" s="62" t="s">
        <v>89</v>
      </c>
      <c r="C21" s="63" t="str">
        <f>IFERROR(AVERAGE(C16:V16),"0")</f>
        <v>0</v>
      </c>
      <c r="D21" s="60"/>
      <c r="E21" s="60"/>
      <c r="F21" s="61"/>
      <c r="G21" s="61"/>
      <c r="H21" s="61"/>
      <c r="I21" s="61"/>
      <c r="J21" s="61"/>
      <c r="K21" s="61"/>
      <c r="L21" s="61"/>
      <c r="M21" s="61"/>
      <c r="N21" s="61"/>
      <c r="O21" s="39"/>
      <c r="P21" s="39"/>
      <c r="Q21" s="39"/>
      <c r="R21" s="39"/>
      <c r="S21" s="39"/>
      <c r="T21" s="39"/>
      <c r="U21" s="39"/>
      <c r="V21" s="39"/>
      <c r="W21" s="39"/>
    </row>
    <row r="22" spans="1:23" ht="15" customHeight="1" x14ac:dyDescent="0.35">
      <c r="A22" s="39"/>
      <c r="B22" s="64" t="s">
        <v>125</v>
      </c>
      <c r="C22" s="65">
        <f>SUM(C16:V16)</f>
        <v>0</v>
      </c>
      <c r="D22" s="60"/>
      <c r="E22" s="60"/>
      <c r="F22" s="61"/>
      <c r="G22" s="61"/>
      <c r="H22" s="61"/>
      <c r="I22" s="61"/>
      <c r="J22" s="61"/>
      <c r="K22" s="61"/>
      <c r="L22" s="61"/>
      <c r="M22" s="61"/>
      <c r="N22" s="61"/>
      <c r="O22" s="39"/>
      <c r="P22" s="39"/>
      <c r="Q22" s="39"/>
      <c r="R22" s="39"/>
      <c r="S22" s="39"/>
      <c r="T22" s="39"/>
      <c r="U22" s="39"/>
      <c r="V22" s="39"/>
      <c r="W22" s="39"/>
    </row>
    <row r="23" spans="1:23" ht="15" customHeight="1" x14ac:dyDescent="0.35">
      <c r="A23" s="39"/>
      <c r="B23" s="61"/>
      <c r="C23" s="39"/>
      <c r="D23" s="39"/>
      <c r="E23" s="39"/>
      <c r="F23" s="66"/>
      <c r="G23" s="66"/>
      <c r="H23" s="66"/>
      <c r="I23" s="40"/>
      <c r="J23" s="40"/>
      <c r="K23" s="40"/>
      <c r="L23" s="40"/>
      <c r="M23" s="40"/>
      <c r="N23" s="40"/>
      <c r="O23" s="39"/>
      <c r="P23" s="39"/>
      <c r="Q23" s="39"/>
      <c r="R23" s="39"/>
      <c r="S23" s="39"/>
      <c r="T23" s="39"/>
      <c r="U23" s="39"/>
      <c r="V23" s="39"/>
      <c r="W23" s="39"/>
    </row>
    <row r="24" spans="1:23" ht="15" customHeight="1" x14ac:dyDescent="0.35">
      <c r="A24" s="39"/>
      <c r="B24" s="99" t="s">
        <v>164</v>
      </c>
      <c r="C24" s="94"/>
      <c r="D24" s="87"/>
      <c r="E24" s="46">
        <f>SUM(E10:E11)</f>
        <v>0</v>
      </c>
      <c r="F24" s="61"/>
      <c r="G24" s="61"/>
      <c r="H24" s="61"/>
      <c r="I24" s="40"/>
      <c r="J24" s="40"/>
      <c r="K24" s="40"/>
      <c r="L24" s="40"/>
      <c r="M24" s="40"/>
      <c r="N24" s="40"/>
      <c r="O24" s="39"/>
      <c r="P24" s="39"/>
      <c r="Q24" s="39"/>
      <c r="R24" s="39"/>
      <c r="S24" s="39"/>
      <c r="T24" s="39"/>
      <c r="U24" s="39"/>
      <c r="V24" s="39"/>
      <c r="W24" s="39"/>
    </row>
    <row r="25" spans="1:23" ht="15" customHeight="1" x14ac:dyDescent="0.35">
      <c r="A25" s="39"/>
      <c r="B25" s="61"/>
      <c r="C25" s="61"/>
      <c r="D25" s="61"/>
      <c r="E25" s="61"/>
      <c r="F25" s="61"/>
      <c r="G25" s="61"/>
      <c r="H25" s="61"/>
      <c r="I25" s="40"/>
      <c r="J25" s="40"/>
      <c r="K25" s="40"/>
      <c r="L25" s="40"/>
      <c r="M25" s="40"/>
      <c r="N25" s="40"/>
      <c r="O25" s="39"/>
      <c r="P25" s="39"/>
      <c r="Q25" s="39"/>
      <c r="R25" s="39"/>
      <c r="S25" s="39"/>
      <c r="T25" s="39"/>
      <c r="U25" s="39"/>
      <c r="V25" s="39"/>
      <c r="W25" s="39"/>
    </row>
    <row r="26" spans="1:23" ht="15" customHeight="1" x14ac:dyDescent="0.35">
      <c r="A26" s="39"/>
      <c r="B26" s="61"/>
      <c r="C26" s="61"/>
      <c r="D26" s="61"/>
      <c r="E26" s="61"/>
      <c r="F26" s="61"/>
      <c r="G26" s="61"/>
      <c r="H26" s="61"/>
      <c r="I26" s="40"/>
      <c r="J26" s="40"/>
      <c r="K26" s="40"/>
      <c r="L26" s="40"/>
      <c r="M26" s="40"/>
      <c r="N26" s="40"/>
      <c r="O26" s="39"/>
      <c r="P26" s="39"/>
      <c r="Q26" s="39"/>
      <c r="R26" s="39"/>
      <c r="S26" s="39"/>
      <c r="T26" s="39"/>
      <c r="U26" s="39"/>
      <c r="V26" s="39"/>
      <c r="W26" s="39"/>
    </row>
    <row r="27" spans="1:23" ht="15" customHeight="1" x14ac:dyDescent="0.35">
      <c r="A27" s="39"/>
      <c r="B27" s="95" t="s">
        <v>127</v>
      </c>
      <c r="C27" s="96"/>
      <c r="D27" s="96"/>
      <c r="E27" s="97"/>
      <c r="F27" s="40"/>
      <c r="G27" s="40"/>
      <c r="H27" s="40"/>
      <c r="I27" s="40"/>
      <c r="J27" s="40"/>
      <c r="K27" s="40"/>
      <c r="L27" s="40"/>
      <c r="M27" s="40"/>
      <c r="N27" s="40"/>
      <c r="O27" s="39"/>
      <c r="P27" s="39"/>
      <c r="Q27" s="39"/>
      <c r="R27" s="39"/>
      <c r="S27" s="39"/>
      <c r="T27" s="39"/>
      <c r="U27" s="39"/>
      <c r="V27" s="39"/>
      <c r="W27" s="39"/>
    </row>
    <row r="28" spans="1:23" ht="15" customHeight="1" x14ac:dyDescent="0.35">
      <c r="A28" s="39"/>
      <c r="B28" s="45"/>
      <c r="C28" s="67" t="s">
        <v>128</v>
      </c>
      <c r="D28" s="67" t="s">
        <v>129</v>
      </c>
      <c r="E28" s="67" t="s">
        <v>130</v>
      </c>
      <c r="F28" s="52" t="s">
        <v>131</v>
      </c>
      <c r="G28" s="52" t="s">
        <v>132</v>
      </c>
      <c r="H28" s="52" t="s">
        <v>133</v>
      </c>
      <c r="I28" s="52" t="s">
        <v>134</v>
      </c>
      <c r="J28" s="52" t="s">
        <v>135</v>
      </c>
      <c r="K28" s="52" t="s">
        <v>136</v>
      </c>
      <c r="L28" s="52" t="s">
        <v>137</v>
      </c>
      <c r="M28" s="52" t="s">
        <v>138</v>
      </c>
      <c r="N28" s="52" t="s">
        <v>139</v>
      </c>
      <c r="O28" s="52" t="s">
        <v>140</v>
      </c>
      <c r="P28" s="52" t="s">
        <v>141</v>
      </c>
      <c r="Q28" s="52" t="s">
        <v>142</v>
      </c>
      <c r="R28" s="52" t="s">
        <v>143</v>
      </c>
      <c r="S28" s="52" t="s">
        <v>144</v>
      </c>
      <c r="T28" s="52" t="s">
        <v>145</v>
      </c>
      <c r="U28" s="52" t="s">
        <v>146</v>
      </c>
      <c r="V28" s="52" t="s">
        <v>147</v>
      </c>
      <c r="W28" s="39"/>
    </row>
    <row r="29" spans="1:23" ht="15" customHeight="1" x14ac:dyDescent="0.35">
      <c r="A29" s="39"/>
      <c r="B29" s="41" t="s">
        <v>120</v>
      </c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39"/>
    </row>
    <row r="30" spans="1:23" ht="15" customHeight="1" x14ac:dyDescent="0.35">
      <c r="A30" s="39"/>
      <c r="B30" s="41" t="s">
        <v>148</v>
      </c>
      <c r="C30" s="69"/>
      <c r="D30" s="54"/>
      <c r="E30" s="54"/>
      <c r="F30" s="54"/>
      <c r="G30" s="54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39"/>
    </row>
    <row r="31" spans="1:23" ht="15" customHeight="1" x14ac:dyDescent="0.35">
      <c r="A31" s="39"/>
      <c r="B31" s="55" t="s">
        <v>149</v>
      </c>
      <c r="C31" s="74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39"/>
    </row>
    <row r="32" spans="1:23" ht="15" customHeight="1" x14ac:dyDescent="0.35">
      <c r="A32" s="39"/>
      <c r="B32" s="71" t="s">
        <v>150</v>
      </c>
      <c r="C32" s="72">
        <f>SUM(C30:V30)</f>
        <v>0</v>
      </c>
      <c r="D32" s="60"/>
      <c r="E32" s="60"/>
      <c r="F32" s="61"/>
      <c r="G32" s="61"/>
      <c r="H32" s="61"/>
      <c r="I32" s="61"/>
      <c r="J32" s="61"/>
      <c r="K32" s="61"/>
      <c r="L32" s="61"/>
      <c r="M32" s="61"/>
      <c r="N32" s="61"/>
      <c r="O32" s="39"/>
      <c r="P32" s="39"/>
      <c r="Q32" s="39"/>
      <c r="R32" s="39"/>
      <c r="S32" s="39"/>
      <c r="T32" s="39"/>
      <c r="U32" s="39"/>
      <c r="V32" s="39"/>
      <c r="W32" s="39"/>
    </row>
    <row r="33" spans="1:23" ht="12" customHeight="1" x14ac:dyDescent="0.35">
      <c r="A33" s="39"/>
      <c r="B33" s="50"/>
      <c r="C33" s="50"/>
      <c r="D33" s="50"/>
      <c r="E33" s="50"/>
      <c r="F33" s="50"/>
      <c r="G33" s="50"/>
      <c r="H33" s="40"/>
      <c r="I33" s="40"/>
      <c r="J33" s="40"/>
      <c r="K33" s="40"/>
      <c r="L33" s="40"/>
      <c r="M33" s="40"/>
      <c r="N33" s="40"/>
      <c r="O33" s="39"/>
      <c r="P33" s="39"/>
      <c r="Q33" s="39"/>
      <c r="R33" s="39"/>
      <c r="S33" s="39"/>
      <c r="T33" s="39"/>
      <c r="U33" s="39"/>
      <c r="V33" s="39"/>
      <c r="W33" s="39"/>
    </row>
    <row r="34" spans="1:23" ht="12" customHeight="1" x14ac:dyDescent="0.35">
      <c r="A34" s="39"/>
      <c r="B34" s="73" t="s">
        <v>151</v>
      </c>
      <c r="C34" s="73"/>
      <c r="D34" s="73"/>
      <c r="E34" s="73"/>
      <c r="F34" s="73"/>
      <c r="G34" s="73"/>
      <c r="H34" s="40"/>
      <c r="I34" s="40"/>
      <c r="J34" s="40"/>
      <c r="K34" s="40"/>
      <c r="L34" s="40"/>
      <c r="M34" s="40"/>
      <c r="N34" s="40"/>
      <c r="O34" s="39"/>
      <c r="P34" s="39"/>
      <c r="Q34" s="39"/>
      <c r="R34" s="39"/>
      <c r="S34" s="39"/>
      <c r="T34" s="39"/>
      <c r="U34" s="39"/>
      <c r="V34" s="39"/>
      <c r="W34" s="39"/>
    </row>
    <row r="35" spans="1:23" ht="193.5" customHeight="1" x14ac:dyDescent="0.35">
      <c r="A35" s="39"/>
      <c r="B35" s="100"/>
      <c r="C35" s="101"/>
      <c r="D35" s="101"/>
      <c r="E35" s="101"/>
      <c r="F35" s="101"/>
      <c r="G35" s="101"/>
      <c r="H35" s="40"/>
      <c r="I35" s="40"/>
      <c r="J35" s="40"/>
      <c r="K35" s="40"/>
      <c r="L35" s="40"/>
      <c r="M35" s="40"/>
      <c r="N35" s="40"/>
      <c r="O35" s="39"/>
      <c r="P35" s="39"/>
      <c r="Q35" s="39"/>
      <c r="R35" s="39"/>
      <c r="S35" s="39"/>
      <c r="T35" s="39"/>
      <c r="U35" s="39"/>
      <c r="V35" s="39"/>
      <c r="W35" s="39"/>
    </row>
    <row r="36" spans="1:23" ht="12" customHeight="1" x14ac:dyDescent="0.35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</row>
  </sheetData>
  <mergeCells count="23">
    <mergeCell ref="B11:D11"/>
    <mergeCell ref="B13:E13"/>
    <mergeCell ref="B24:D24"/>
    <mergeCell ref="B27:E27"/>
    <mergeCell ref="B35:G35"/>
    <mergeCell ref="G5:I5"/>
    <mergeCell ref="G8:I8"/>
    <mergeCell ref="G9:J9"/>
    <mergeCell ref="B10:D10"/>
    <mergeCell ref="G10:I10"/>
    <mergeCell ref="B5:D5"/>
    <mergeCell ref="B6:D6"/>
    <mergeCell ref="G6:I6"/>
    <mergeCell ref="B7:D7"/>
    <mergeCell ref="G7:I7"/>
    <mergeCell ref="B8:D8"/>
    <mergeCell ref="B9:D9"/>
    <mergeCell ref="B1:J1"/>
    <mergeCell ref="B3:E3"/>
    <mergeCell ref="G3:J3"/>
    <mergeCell ref="L3:M3"/>
    <mergeCell ref="B4:D4"/>
    <mergeCell ref="G4:J4"/>
  </mergeCells>
  <pageMargins left="0.7" right="0.7" top="0.75" bottom="0.75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 xr:uid="{00000000-0002-0000-0900-000000000000}">
          <x14:formula1>
            <xm:f>Dropdowns!$A$1:$A$3</xm:f>
          </x14:formula1>
          <xm:sqref>E4 J5:J6 E7</xm:sqref>
        </x14:dataValidation>
        <x14:dataValidation type="list" allowBlank="1" showErrorMessage="1" xr:uid="{00000000-0002-0000-0900-000001000000}">
          <x14:formula1>
            <xm:f>Dropdowns!$B$1:$B$9</xm:f>
          </x14:formula1>
          <xm:sqref>E5</xm:sqref>
        </x14:dataValidation>
        <x14:dataValidation type="list" allowBlank="1" showErrorMessage="1" xr:uid="{00000000-0002-0000-0900-000002000000}">
          <x14:formula1>
            <xm:f>Dropdowns!$E$12:$E$21</xm:f>
          </x14:formula1>
          <xm:sqref>C18:V18</xm:sqref>
        </x14:dataValidation>
        <x14:dataValidation type="list" allowBlank="1" showErrorMessage="1" xr:uid="{00000000-0002-0000-0900-000003000000}">
          <x14:formula1>
            <xm:f>Dropdowns!$N$2:$N$22</xm:f>
          </x14:formula1>
          <xm:sqref>J8</xm:sqref>
        </x14:dataValidation>
        <x14:dataValidation type="list" allowBlank="1" showErrorMessage="1" xr:uid="{00000000-0002-0000-0900-000004000000}">
          <x14:formula1>
            <xm:f>Dropdowns!$N$2:$N$17</xm:f>
          </x14:formula1>
          <xm:sqref>E6 J7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5B9BD5"/>
    <pageSetUpPr fitToPage="1"/>
  </sheetPr>
  <dimension ref="B1:J1000"/>
  <sheetViews>
    <sheetView tabSelected="1" zoomScale="57" workbookViewId="0">
      <selection activeCell="Z37" sqref="Z37"/>
    </sheetView>
  </sheetViews>
  <sheetFormatPr defaultColWidth="11.25" defaultRowHeight="15" customHeight="1" x14ac:dyDescent="0.35"/>
  <cols>
    <col min="1" max="1" width="4.08203125" customWidth="1"/>
    <col min="2" max="2" width="20.4140625" bestFit="1" customWidth="1"/>
    <col min="3" max="3" width="9.83203125" bestFit="1" customWidth="1"/>
    <col min="4" max="10" width="9.58203125" bestFit="1" customWidth="1"/>
    <col min="11" max="21" width="4.08203125" customWidth="1"/>
  </cols>
  <sheetData>
    <row r="1" spans="2:10" ht="15.75" customHeight="1" x14ac:dyDescent="0.35"/>
    <row r="2" spans="2:10" ht="15.75" customHeight="1" x14ac:dyDescent="0.35">
      <c r="B2" s="102" t="s">
        <v>157</v>
      </c>
      <c r="C2" s="87"/>
      <c r="D2" s="75" t="s">
        <v>210</v>
      </c>
      <c r="E2" s="75" t="s">
        <v>211</v>
      </c>
      <c r="F2" s="75" t="s">
        <v>212</v>
      </c>
      <c r="G2" s="75" t="s">
        <v>213</v>
      </c>
      <c r="H2" s="75" t="s">
        <v>214</v>
      </c>
      <c r="I2" s="75" t="s">
        <v>215</v>
      </c>
      <c r="J2" s="75" t="s">
        <v>216</v>
      </c>
    </row>
    <row r="3" spans="2:10" ht="16.5" customHeight="1" x14ac:dyDescent="0.35">
      <c r="B3" s="103" t="s">
        <v>158</v>
      </c>
      <c r="C3" s="87"/>
      <c r="D3" s="76" cm="1">
        <f t="array" aca="1" ref="D3" ca="1">INDIRECT("'"&amp;D2&amp;"'!$C$23")</f>
        <v>0</v>
      </c>
      <c r="E3" s="76" cm="1">
        <f t="array" aca="1" ref="E3" ca="1">INDIRECT("'"&amp;E2&amp;"'!$C$23")</f>
        <v>0</v>
      </c>
      <c r="F3" s="76" cm="1">
        <f t="array" aca="1" ref="F3" ca="1">INDIRECT("'"&amp;F2&amp;"'!$C$23")</f>
        <v>0</v>
      </c>
      <c r="G3" s="76" cm="1">
        <f t="array" aca="1" ref="G3" ca="1">INDIRECT("'"&amp;G2&amp;"'!$C$23")</f>
        <v>0</v>
      </c>
      <c r="H3" s="76" cm="1">
        <f t="array" aca="1" ref="H3" ca="1">INDIRECT("'"&amp;H2&amp;"'!$C$23")</f>
        <v>0</v>
      </c>
      <c r="I3" s="76" cm="1">
        <f t="array" aca="1" ref="I3" ca="1">INDIRECT("'"&amp;I2&amp;"'!$C$23")</f>
        <v>0</v>
      </c>
      <c r="J3" s="76" cm="1">
        <f t="array" aca="1" ref="J3" ca="1">INDIRECT("'"&amp;J2&amp;"'!$C$23")</f>
        <v>0</v>
      </c>
    </row>
    <row r="4" spans="2:10" ht="15.75" customHeight="1" x14ac:dyDescent="0.35">
      <c r="B4" s="104" t="s">
        <v>159</v>
      </c>
      <c r="C4" s="77" t="s">
        <v>160</v>
      </c>
      <c r="D4" s="78">
        <f t="shared" ref="D4:J4" ca="1" si="0">INDIRECT("'"&amp;D$2&amp;"'!C20")</f>
        <v>0</v>
      </c>
      <c r="E4" s="78">
        <f t="shared" ca="1" si="0"/>
        <v>0</v>
      </c>
      <c r="F4" s="78">
        <f t="shared" ca="1" si="0"/>
        <v>0</v>
      </c>
      <c r="G4" s="78">
        <f t="shared" ca="1" si="0"/>
        <v>0</v>
      </c>
      <c r="H4" s="78">
        <f t="shared" ca="1" si="0"/>
        <v>0</v>
      </c>
      <c r="I4" s="78">
        <f t="shared" ca="1" si="0"/>
        <v>0</v>
      </c>
      <c r="J4" s="78">
        <f t="shared" ca="1" si="0"/>
        <v>0</v>
      </c>
    </row>
    <row r="5" spans="2:10" ht="15.75" customHeight="1" x14ac:dyDescent="0.35">
      <c r="B5" s="105"/>
      <c r="C5" s="77" t="s">
        <v>161</v>
      </c>
      <c r="D5" s="79" t="str">
        <f t="shared" ref="D5:J5" ca="1" si="1">INDIRECT("'"&amp;D$2&amp;"'!C21")</f>
        <v>0</v>
      </c>
      <c r="E5" s="79" t="str">
        <f t="shared" ca="1" si="1"/>
        <v>0</v>
      </c>
      <c r="F5" s="79" t="str">
        <f t="shared" ca="1" si="1"/>
        <v>0</v>
      </c>
      <c r="G5" s="79" t="str">
        <f t="shared" ca="1" si="1"/>
        <v>0</v>
      </c>
      <c r="H5" s="79" t="str">
        <f t="shared" ca="1" si="1"/>
        <v>0</v>
      </c>
      <c r="I5" s="79" t="str">
        <f t="shared" ca="1" si="1"/>
        <v>0</v>
      </c>
      <c r="J5" s="79" t="str">
        <f t="shared" ca="1" si="1"/>
        <v>0</v>
      </c>
    </row>
    <row r="6" spans="2:10" ht="15.75" customHeight="1" x14ac:dyDescent="0.35">
      <c r="B6" s="106" t="s">
        <v>162</v>
      </c>
      <c r="C6" s="80" t="s">
        <v>160</v>
      </c>
      <c r="D6" s="81">
        <f t="shared" ref="D6:J6" ca="1" si="2">INDIRECT("'"&amp;D$2&amp;"'!M5")</f>
        <v>0</v>
      </c>
      <c r="E6" s="81">
        <f t="shared" ca="1" si="2"/>
        <v>0</v>
      </c>
      <c r="F6" s="81">
        <f t="shared" ca="1" si="2"/>
        <v>0</v>
      </c>
      <c r="G6" s="81">
        <f t="shared" ca="1" si="2"/>
        <v>0</v>
      </c>
      <c r="H6" s="81">
        <f t="shared" ca="1" si="2"/>
        <v>0</v>
      </c>
      <c r="I6" s="81">
        <f t="shared" ca="1" si="2"/>
        <v>0</v>
      </c>
      <c r="J6" s="81">
        <f t="shared" ca="1" si="2"/>
        <v>0</v>
      </c>
    </row>
    <row r="7" spans="2:10" ht="15.75" customHeight="1" x14ac:dyDescent="0.35">
      <c r="B7" s="105"/>
      <c r="C7" s="80" t="s">
        <v>161</v>
      </c>
      <c r="D7" s="81" t="str">
        <f t="shared" ref="D7:J7" ca="1" si="3">INDIRECT("'"&amp;D$2&amp;"'!M6")</f>
        <v>0</v>
      </c>
      <c r="E7" s="81" t="str">
        <f t="shared" ca="1" si="3"/>
        <v>0</v>
      </c>
      <c r="F7" s="81" t="str">
        <f t="shared" ca="1" si="3"/>
        <v>0</v>
      </c>
      <c r="G7" s="81" t="str">
        <f t="shared" ca="1" si="3"/>
        <v>0</v>
      </c>
      <c r="H7" s="81" t="str">
        <f t="shared" ca="1" si="3"/>
        <v>0</v>
      </c>
      <c r="I7" s="81" t="str">
        <f t="shared" ca="1" si="3"/>
        <v>0</v>
      </c>
      <c r="J7" s="81">
        <f t="shared" ca="1" si="3"/>
        <v>0</v>
      </c>
    </row>
    <row r="8" spans="2:10" ht="15.75" customHeight="1" x14ac:dyDescent="0.35">
      <c r="B8" s="107" t="s">
        <v>163</v>
      </c>
      <c r="C8" s="87"/>
      <c r="D8" s="78">
        <f t="shared" ref="D8:J8" ca="1" si="4">INDIRECT("'"&amp;D$2&amp;"'!C32")</f>
        <v>0</v>
      </c>
      <c r="E8" s="78">
        <f t="shared" ca="1" si="4"/>
        <v>0</v>
      </c>
      <c r="F8" s="78">
        <f t="shared" ca="1" si="4"/>
        <v>0</v>
      </c>
      <c r="G8" s="78">
        <f t="shared" ca="1" si="4"/>
        <v>0</v>
      </c>
      <c r="H8" s="78">
        <f t="shared" ca="1" si="4"/>
        <v>0</v>
      </c>
      <c r="I8" s="78">
        <f t="shared" ca="1" si="4"/>
        <v>0</v>
      </c>
      <c r="J8" s="78">
        <f t="shared" ca="1" si="4"/>
        <v>0</v>
      </c>
    </row>
    <row r="9" spans="2:10" ht="15.75" customHeight="1" x14ac:dyDescent="0.35"/>
    <row r="10" spans="2:10" ht="15.75" customHeight="1" x14ac:dyDescent="0.35"/>
    <row r="11" spans="2:10" ht="15.75" customHeight="1" x14ac:dyDescent="0.35"/>
    <row r="12" spans="2:10" ht="15.75" customHeight="1" x14ac:dyDescent="0.35"/>
    <row r="13" spans="2:10" ht="15.75" customHeight="1" x14ac:dyDescent="0.35"/>
    <row r="14" spans="2:10" ht="15.75" customHeight="1" x14ac:dyDescent="0.35"/>
    <row r="15" spans="2:10" ht="15.75" customHeight="1" x14ac:dyDescent="0.35"/>
    <row r="16" spans="2:10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5">
    <mergeCell ref="B2:C2"/>
    <mergeCell ref="B3:C3"/>
    <mergeCell ref="B4:B5"/>
    <mergeCell ref="B6:B7"/>
    <mergeCell ref="B8:C8"/>
  </mergeCells>
  <phoneticPr fontId="20" type="noConversion"/>
  <pageMargins left="0.70000000000000007" right="0.70000000000000007" top="0.75000000000000011" bottom="0.75000000000000011" header="0" footer="0"/>
  <pageSetup paperSize="9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1000"/>
  <sheetViews>
    <sheetView workbookViewId="0"/>
  </sheetViews>
  <sheetFormatPr defaultColWidth="11.25" defaultRowHeight="15" customHeight="1" x14ac:dyDescent="0.35"/>
  <cols>
    <col min="1" max="26" width="5.08203125" customWidth="1"/>
  </cols>
  <sheetData>
    <row r="1" spans="1:14" ht="15.75" customHeight="1" x14ac:dyDescent="0.35">
      <c r="A1" s="23" t="s">
        <v>165</v>
      </c>
      <c r="B1" s="23">
        <v>0</v>
      </c>
    </row>
    <row r="2" spans="1:14" ht="15.75" customHeight="1" x14ac:dyDescent="0.35">
      <c r="A2" s="23" t="s">
        <v>166</v>
      </c>
      <c r="B2" s="23">
        <v>1</v>
      </c>
      <c r="E2" s="23" t="s">
        <v>167</v>
      </c>
      <c r="H2" s="23" t="s">
        <v>168</v>
      </c>
      <c r="J2" s="82" t="s">
        <v>169</v>
      </c>
      <c r="L2" s="23" t="s">
        <v>170</v>
      </c>
      <c r="N2" s="23">
        <v>0</v>
      </c>
    </row>
    <row r="3" spans="1:14" ht="15.75" customHeight="1" x14ac:dyDescent="0.35">
      <c r="A3" s="23" t="str">
        <f>""</f>
        <v/>
      </c>
      <c r="B3" s="23">
        <v>2</v>
      </c>
      <c r="E3" s="23" t="s">
        <v>171</v>
      </c>
      <c r="H3" s="23" t="s">
        <v>172</v>
      </c>
      <c r="J3" s="23" t="s">
        <v>173</v>
      </c>
      <c r="L3" s="23" t="s">
        <v>174</v>
      </c>
      <c r="N3" s="23">
        <v>1</v>
      </c>
    </row>
    <row r="4" spans="1:14" ht="15.75" customHeight="1" x14ac:dyDescent="0.35">
      <c r="B4" s="23">
        <v>3</v>
      </c>
      <c r="E4" s="23" t="s">
        <v>175</v>
      </c>
      <c r="H4" s="23" t="s">
        <v>176</v>
      </c>
      <c r="J4" s="23" t="s">
        <v>177</v>
      </c>
      <c r="L4" s="23" t="s">
        <v>178</v>
      </c>
      <c r="N4" s="23">
        <v>2</v>
      </c>
    </row>
    <row r="5" spans="1:14" ht="15.75" customHeight="1" x14ac:dyDescent="0.35">
      <c r="B5" s="23">
        <v>4</v>
      </c>
      <c r="E5" s="23" t="s">
        <v>179</v>
      </c>
      <c r="H5" s="23" t="s">
        <v>180</v>
      </c>
      <c r="J5" s="23" t="s">
        <v>181</v>
      </c>
      <c r="L5" s="23" t="s">
        <v>182</v>
      </c>
      <c r="N5" s="23">
        <v>3</v>
      </c>
    </row>
    <row r="6" spans="1:14" ht="15.75" customHeight="1" x14ac:dyDescent="0.35">
      <c r="B6" s="23">
        <v>5</v>
      </c>
      <c r="E6" s="23" t="s">
        <v>183</v>
      </c>
      <c r="J6" s="23" t="s">
        <v>184</v>
      </c>
      <c r="N6" s="23">
        <v>4</v>
      </c>
    </row>
    <row r="7" spans="1:14" ht="15.75" customHeight="1" x14ac:dyDescent="0.35">
      <c r="B7" s="23">
        <v>6</v>
      </c>
      <c r="E7" s="23" t="s">
        <v>185</v>
      </c>
      <c r="N7" s="23">
        <v>5</v>
      </c>
    </row>
    <row r="8" spans="1:14" ht="15.75" customHeight="1" x14ac:dyDescent="0.35">
      <c r="B8" s="23">
        <v>7</v>
      </c>
      <c r="E8" s="23" t="s">
        <v>186</v>
      </c>
      <c r="N8" s="23">
        <v>6</v>
      </c>
    </row>
    <row r="9" spans="1:14" ht="15.75" customHeight="1" x14ac:dyDescent="0.35">
      <c r="B9" s="23" t="str">
        <f>""</f>
        <v/>
      </c>
      <c r="E9" s="23" t="s">
        <v>187</v>
      </c>
      <c r="J9" s="23" t="s">
        <v>188</v>
      </c>
      <c r="N9" s="23">
        <v>7</v>
      </c>
    </row>
    <row r="10" spans="1:14" ht="15.75" customHeight="1" x14ac:dyDescent="0.35">
      <c r="J10" s="23" t="s">
        <v>189</v>
      </c>
      <c r="N10" s="23">
        <v>8</v>
      </c>
    </row>
    <row r="11" spans="1:14" ht="15.75" customHeight="1" x14ac:dyDescent="0.35">
      <c r="N11" s="23">
        <v>9</v>
      </c>
    </row>
    <row r="12" spans="1:14" ht="15.75" customHeight="1" x14ac:dyDescent="0.35">
      <c r="E12" s="23" t="s">
        <v>190</v>
      </c>
      <c r="N12" s="23">
        <v>10</v>
      </c>
    </row>
    <row r="13" spans="1:14" ht="15.75" customHeight="1" x14ac:dyDescent="0.35">
      <c r="E13" s="23" t="s">
        <v>167</v>
      </c>
      <c r="J13" s="23" t="s">
        <v>191</v>
      </c>
      <c r="N13" s="23">
        <v>11</v>
      </c>
    </row>
    <row r="14" spans="1:14" ht="15.75" customHeight="1" x14ac:dyDescent="0.35">
      <c r="E14" s="23" t="s">
        <v>171</v>
      </c>
      <c r="J14" s="23" t="s">
        <v>192</v>
      </c>
      <c r="N14" s="23">
        <v>12</v>
      </c>
    </row>
    <row r="15" spans="1:14" ht="15.75" customHeight="1" x14ac:dyDescent="0.35">
      <c r="E15" s="23" t="s">
        <v>175</v>
      </c>
      <c r="J15" s="23" t="s">
        <v>193</v>
      </c>
      <c r="N15" s="23">
        <v>13</v>
      </c>
    </row>
    <row r="16" spans="1:14" ht="15.75" customHeight="1" x14ac:dyDescent="0.35">
      <c r="E16" s="23" t="s">
        <v>179</v>
      </c>
      <c r="N16" s="23">
        <v>14</v>
      </c>
    </row>
    <row r="17" spans="5:14" ht="15.75" customHeight="1" x14ac:dyDescent="0.35">
      <c r="E17" s="23" t="s">
        <v>183</v>
      </c>
      <c r="N17" s="23">
        <v>15</v>
      </c>
    </row>
    <row r="18" spans="5:14" ht="15.75" customHeight="1" x14ac:dyDescent="0.35">
      <c r="E18" s="23" t="s">
        <v>185</v>
      </c>
      <c r="N18" s="23">
        <v>16</v>
      </c>
    </row>
    <row r="19" spans="5:14" ht="15.75" customHeight="1" x14ac:dyDescent="0.35">
      <c r="E19" s="23" t="s">
        <v>186</v>
      </c>
      <c r="N19" s="23">
        <v>17</v>
      </c>
    </row>
    <row r="20" spans="5:14" ht="15.75" customHeight="1" x14ac:dyDescent="0.35">
      <c r="E20" s="23" t="s">
        <v>187</v>
      </c>
      <c r="N20" s="23">
        <v>18</v>
      </c>
    </row>
    <row r="21" spans="5:14" ht="15.75" customHeight="1" x14ac:dyDescent="0.35">
      <c r="N21" s="23">
        <v>19</v>
      </c>
    </row>
    <row r="22" spans="5:14" ht="15.75" customHeight="1" x14ac:dyDescent="0.35">
      <c r="N22" s="23">
        <v>20</v>
      </c>
    </row>
    <row r="23" spans="5:14" ht="15.75" customHeight="1" x14ac:dyDescent="0.35"/>
    <row r="24" spans="5:14" ht="15.75" customHeight="1" x14ac:dyDescent="0.35"/>
    <row r="25" spans="5:14" ht="15.75" customHeight="1" x14ac:dyDescent="0.35"/>
    <row r="26" spans="5:14" ht="15.75" customHeight="1" x14ac:dyDescent="0.35"/>
    <row r="27" spans="5:14" ht="15.75" customHeight="1" x14ac:dyDescent="0.35"/>
    <row r="28" spans="5:14" ht="15.75" customHeight="1" x14ac:dyDescent="0.35"/>
    <row r="29" spans="5:14" ht="15.75" customHeight="1" x14ac:dyDescent="0.35"/>
    <row r="30" spans="5:14" ht="15.75" customHeight="1" x14ac:dyDescent="0.35"/>
    <row r="31" spans="5:14" ht="15.75" customHeight="1" x14ac:dyDescent="0.35"/>
    <row r="32" spans="5:14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000"/>
  <sheetViews>
    <sheetView workbookViewId="0"/>
  </sheetViews>
  <sheetFormatPr defaultColWidth="11.25" defaultRowHeight="15" customHeight="1" x14ac:dyDescent="0.35"/>
  <cols>
    <col min="1" max="26" width="5.25" customWidth="1"/>
  </cols>
  <sheetData>
    <row r="1" spans="1:2" ht="15.75" customHeight="1" x14ac:dyDescent="0.35">
      <c r="A1" s="83" t="s">
        <v>194</v>
      </c>
    </row>
    <row r="2" spans="1:2" ht="15.75" customHeight="1" x14ac:dyDescent="0.35"/>
    <row r="3" spans="1:2" ht="15.75" customHeight="1" x14ac:dyDescent="0.35">
      <c r="B3" s="84"/>
    </row>
    <row r="4" spans="1:2" ht="15.75" customHeight="1" x14ac:dyDescent="0.35">
      <c r="B4" s="84"/>
    </row>
    <row r="5" spans="1:2" ht="15.75" customHeight="1" x14ac:dyDescent="0.35"/>
    <row r="6" spans="1:2" ht="15.75" customHeight="1" x14ac:dyDescent="0.35">
      <c r="A6" s="83" t="s">
        <v>195</v>
      </c>
    </row>
    <row r="7" spans="1:2" ht="15.75" customHeight="1" x14ac:dyDescent="0.35"/>
    <row r="8" spans="1:2" ht="15.75" customHeight="1" x14ac:dyDescent="0.35"/>
    <row r="9" spans="1:2" ht="15.75" customHeight="1" x14ac:dyDescent="0.35"/>
    <row r="10" spans="1:2" ht="15.75" customHeight="1" x14ac:dyDescent="0.35">
      <c r="B10" s="84"/>
    </row>
    <row r="11" spans="1:2" ht="15.75" customHeight="1" x14ac:dyDescent="0.35"/>
    <row r="12" spans="1:2" ht="15.75" customHeight="1" x14ac:dyDescent="0.35"/>
    <row r="13" spans="1:2" ht="15.75" customHeight="1" x14ac:dyDescent="0.35"/>
    <row r="14" spans="1:2" ht="15.75" customHeight="1" x14ac:dyDescent="0.35"/>
    <row r="15" spans="1:2" ht="15.75" customHeight="1" x14ac:dyDescent="0.35"/>
    <row r="16" spans="1:2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000"/>
  <sheetViews>
    <sheetView workbookViewId="0"/>
  </sheetViews>
  <sheetFormatPr defaultColWidth="11.25" defaultRowHeight="15" customHeight="1" x14ac:dyDescent="0.35"/>
  <cols>
    <col min="1" max="1" width="28.08203125" customWidth="1"/>
    <col min="2" max="26" width="5.08203125" customWidth="1"/>
  </cols>
  <sheetData>
    <row r="1" spans="1:7" ht="15.75" customHeight="1" x14ac:dyDescent="0.35">
      <c r="A1" s="23" t="s">
        <v>157</v>
      </c>
      <c r="B1" s="23" t="s">
        <v>149</v>
      </c>
      <c r="G1" s="23" t="s">
        <v>157</v>
      </c>
    </row>
    <row r="2" spans="1:7" ht="15.75" customHeight="1" x14ac:dyDescent="0.35">
      <c r="A2" s="23" t="s">
        <v>196</v>
      </c>
      <c r="B2" s="23" t="s">
        <v>197</v>
      </c>
      <c r="G2" s="85">
        <f>'Algemene info'!B3</f>
        <v>0</v>
      </c>
    </row>
    <row r="3" spans="1:7" ht="15.75" customHeight="1" x14ac:dyDescent="0.35">
      <c r="A3" s="23" t="s">
        <v>198</v>
      </c>
    </row>
    <row r="4" spans="1:7" ht="15.75" customHeight="1" x14ac:dyDescent="0.35">
      <c r="A4" s="23" t="s">
        <v>199</v>
      </c>
    </row>
    <row r="5" spans="1:7" ht="15.75" customHeight="1" x14ac:dyDescent="0.35">
      <c r="A5" s="23" t="s">
        <v>200</v>
      </c>
    </row>
    <row r="6" spans="1:7" ht="15.75" customHeight="1" x14ac:dyDescent="0.35">
      <c r="A6" s="23" t="s">
        <v>201</v>
      </c>
    </row>
    <row r="7" spans="1:7" ht="15.75" customHeight="1" x14ac:dyDescent="0.35">
      <c r="A7" s="23" t="s">
        <v>202</v>
      </c>
    </row>
    <row r="8" spans="1:7" ht="15.75" customHeight="1" x14ac:dyDescent="0.35">
      <c r="A8" s="23" t="s">
        <v>203</v>
      </c>
    </row>
    <row r="9" spans="1:7" ht="15.75" customHeight="1" x14ac:dyDescent="0.35">
      <c r="A9" s="23" t="s">
        <v>204</v>
      </c>
    </row>
    <row r="10" spans="1:7" ht="15.75" customHeight="1" x14ac:dyDescent="0.35">
      <c r="A10" s="23" t="s">
        <v>205</v>
      </c>
    </row>
    <row r="11" spans="1:7" ht="15.75" customHeight="1" x14ac:dyDescent="0.35">
      <c r="A11" s="23" t="s">
        <v>206</v>
      </c>
    </row>
    <row r="12" spans="1:7" ht="15.75" customHeight="1" x14ac:dyDescent="0.35">
      <c r="A12" s="23" t="s">
        <v>207</v>
      </c>
    </row>
    <row r="13" spans="1:7" ht="15.75" customHeight="1" x14ac:dyDescent="0.35">
      <c r="A13" s="23" t="s">
        <v>208</v>
      </c>
    </row>
    <row r="14" spans="1:7" ht="15.75" customHeight="1" x14ac:dyDescent="0.35"/>
    <row r="15" spans="1:7" ht="15.75" customHeight="1" x14ac:dyDescent="0.35"/>
    <row r="16" spans="1:7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13</vt:i4>
      </vt:variant>
    </vt:vector>
  </HeadingPairs>
  <TitlesOfParts>
    <vt:vector size="13" baseType="lpstr">
      <vt:lpstr>Algemene info</vt:lpstr>
      <vt:lpstr>Intake vragen</vt:lpstr>
      <vt:lpstr>Dag 1</vt:lpstr>
      <vt:lpstr>Dag 2</vt:lpstr>
      <vt:lpstr>Dag 3</vt:lpstr>
      <vt:lpstr>Dag 4</vt:lpstr>
      <vt:lpstr>Dag 5</vt:lpstr>
      <vt:lpstr>Dag 6</vt:lpstr>
      <vt:lpstr>Dag 7</vt:lpstr>
      <vt:lpstr>Evolutie</vt:lpstr>
      <vt:lpstr>Dropdowns</vt:lpstr>
      <vt:lpstr>Samenvatting doktersbezoeken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Office-gebruiker</dc:creator>
  <cp:lastModifiedBy>Sam Vandenabeele</cp:lastModifiedBy>
  <dcterms:created xsi:type="dcterms:W3CDTF">2018-11-11T09:41:37Z</dcterms:created>
  <dcterms:modified xsi:type="dcterms:W3CDTF">2026-06-16T19:51:51Z</dcterms:modified>
</cp:coreProperties>
</file>